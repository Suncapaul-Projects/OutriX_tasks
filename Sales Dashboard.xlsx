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F:\"/>
    </mc:Choice>
  </mc:AlternateContent>
  <xr:revisionPtr revIDLastSave="0" documentId="13_ncr:1_{CB3079D7-96FC-4092-B476-249B1B6010B7}" xr6:coauthVersionLast="47" xr6:coauthVersionMax="47" xr10:uidLastSave="{00000000-0000-0000-0000-000000000000}"/>
  <bookViews>
    <workbookView xWindow="4704" yWindow="3540" windowWidth="17280" windowHeight="9420" activeTab="3" xr2:uid="{00000000-000D-0000-FFFF-FFFF00000000}"/>
  </bookViews>
  <sheets>
    <sheet name="Sheet1" sheetId="1" r:id="rId1"/>
    <sheet name="Sheet2" sheetId="2" r:id="rId2"/>
    <sheet name="Sheet3" sheetId="3" r:id="rId3"/>
    <sheet name="Sheet4" sheetId="8" r:id="rId4"/>
  </sheets>
  <definedNames>
    <definedName name="ExternalData_1" localSheetId="1" hidden="1">Sheet2!$A$1:$N$202</definedName>
    <definedName name="Slicer_Customer_Type">#N/A</definedName>
    <definedName name="Slicer_Product_Category">#N/A</definedName>
    <definedName name="Slicer_Region">#N/A</definedName>
    <definedName name="Slicer_Sales_Rep">#N/A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02" i="2" l="1"/>
  <c r="M202" i="2"/>
  <c r="L202" i="2"/>
  <c r="J202" i="2"/>
  <c r="K202" i="2"/>
  <c r="K104857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877E20-2863-4B12-AC89-FC3EE947F63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<sst xmlns="http://schemas.openxmlformats.org/spreadsheetml/2006/main" count="2862" uniqueCount="64">
  <si>
    <t>Order_ID</t>
  </si>
  <si>
    <t>Order_Date</t>
  </si>
  <si>
    <t>Region</t>
  </si>
  <si>
    <t>State</t>
  </si>
  <si>
    <t>City</t>
  </si>
  <si>
    <t>Product_Category</t>
  </si>
  <si>
    <t>Product_Name</t>
  </si>
  <si>
    <t>Sales_Rep</t>
  </si>
  <si>
    <t>Quantity</t>
  </si>
  <si>
    <t>Unit_Price</t>
  </si>
  <si>
    <t>Revenue</t>
  </si>
  <si>
    <t>Cost</t>
  </si>
  <si>
    <t>Profit</t>
  </si>
  <si>
    <t>Customer_Type</t>
  </si>
  <si>
    <t>West</t>
  </si>
  <si>
    <t>East</t>
  </si>
  <si>
    <t>North</t>
  </si>
  <si>
    <t>South</t>
  </si>
  <si>
    <t>Gujarat</t>
  </si>
  <si>
    <t>Tamil Nadu</t>
  </si>
  <si>
    <t>Delhi</t>
  </si>
  <si>
    <t>Maharashtra</t>
  </si>
  <si>
    <t>West Bengal</t>
  </si>
  <si>
    <t>Karnataka</t>
  </si>
  <si>
    <t>Kolkata</t>
  </si>
  <si>
    <t>Mumbai</t>
  </si>
  <si>
    <t>Bangalore</t>
  </si>
  <si>
    <t>Chennai</t>
  </si>
  <si>
    <t>Ahmedabad</t>
  </si>
  <si>
    <t>Clothing</t>
  </si>
  <si>
    <t>Electronics</t>
  </si>
  <si>
    <t>Furniture</t>
  </si>
  <si>
    <t>Jacket</t>
  </si>
  <si>
    <t>Sweater</t>
  </si>
  <si>
    <t>Headphones</t>
  </si>
  <si>
    <t>Smartphone</t>
  </si>
  <si>
    <t>T-Shirt</t>
  </si>
  <si>
    <t>Sofa</t>
  </si>
  <si>
    <t>Jeans</t>
  </si>
  <si>
    <t>Chair</t>
  </si>
  <si>
    <t>Tablet</t>
  </si>
  <si>
    <t>Desk</t>
  </si>
  <si>
    <t>Laptop</t>
  </si>
  <si>
    <t>Table</t>
  </si>
  <si>
    <t>Sneha</t>
  </si>
  <si>
    <t>Aman</t>
  </si>
  <si>
    <t>Neha</t>
  </si>
  <si>
    <t>Priya</t>
  </si>
  <si>
    <t>Rahul</t>
  </si>
  <si>
    <t>Arjun</t>
  </si>
  <si>
    <t>New</t>
  </si>
  <si>
    <t>Returning</t>
  </si>
  <si>
    <t>Sum of Revenue</t>
  </si>
  <si>
    <t>Row Labels</t>
  </si>
  <si>
    <t>Grand Total</t>
  </si>
  <si>
    <t>Jan</t>
  </si>
  <si>
    <t>Feb</t>
  </si>
  <si>
    <t>Mar</t>
  </si>
  <si>
    <t>Apr</t>
  </si>
  <si>
    <t>May</t>
  </si>
  <si>
    <t>Jun</t>
  </si>
  <si>
    <t>Sum of Profit</t>
  </si>
  <si>
    <t>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</si>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</sst>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ck">
        <color theme="1"/>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vertical="top"/>
    </xf>
    <xf numFmtId="0" fontId="0" fillId="0" borderId="0" xfId="0" applyAlignment="1">
      <alignment horizontal="left"/>
    </xf>
    <xf numFmtId="0" fontId="0" fillId="0" borderId="0" xfId="0" applyAlignment="1">
      <alignment horizontal="center" vertical="top"/>
    </xf>
    <xf numFmtId="14" fontId="0" fillId="0" borderId="0" xfId="0" applyNumberFormat="1" applyAlignment="1">
      <alignment horizontal="center" vertical="top"/>
    </xf>
    <xf numFmtId="0" fontId="0" fillId="0" borderId="0" xfId="0" pivotButton="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0" xfId="0" applyFill="1"/>
    <xf numFmtId="0" fontId="0" fillId="2" borderId="0" xfId="0" applyFill="1" applyAlignment="1">
      <alignment horizontal="center" vertical="top"/>
    </xf>
    <xf numFmtId="0" fontId="0" fillId="0" borderId="10" xfId="0" applyBorder="1"/>
    <xf numFmtId="0" fontId="0" fillId="2" borderId="10" xfId="0" applyFill="1" applyBorder="1"/>
    <xf numFmtId="0" fontId="0" fillId="0" borderId="0" xfId="0" applyNumberFormat="1"/>
  </cellXfs>
  <cellStyles count="1">
    <cellStyle name="Normal" xfId="0" builtinId="0"/>
  </cellStyles>
  <dxfs count="16">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4842576</c:v>
                </c:pt>
                <c:pt idx="1">
                  <c:v>3825947</c:v>
                </c:pt>
                <c:pt idx="2">
                  <c:v>6741203</c:v>
                </c:pt>
                <c:pt idx="3">
                  <c:v>5121394</c:v>
                </c:pt>
                <c:pt idx="4">
                  <c:v>7246134</c:v>
                </c:pt>
                <c:pt idx="5">
                  <c:v>3596468</c:v>
                </c:pt>
              </c:numCache>
            </c:numRef>
          </c:val>
          <c:smooth val="0"/>
          <c:extLst>
            <c:ext xmlns:c16="http://schemas.microsoft.com/office/drawing/2014/chart" uri="{C3380CC4-5D6E-409C-BE32-E72D297353CC}">
              <c16:uniqueId val="{00000000-6A5A-46E4-8166-0582B433A2C9}"/>
            </c:ext>
          </c:extLst>
        </c:ser>
        <c:dLbls>
          <c:showLegendKey val="0"/>
          <c:showVal val="0"/>
          <c:showCatName val="0"/>
          <c:showSerName val="0"/>
          <c:showPercent val="0"/>
          <c:showBubbleSize val="0"/>
        </c:dLbls>
        <c:smooth val="0"/>
        <c:axId val="1018934056"/>
        <c:axId val="1018933696"/>
      </c:lineChart>
      <c:catAx>
        <c:axId val="101893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33696"/>
        <c:crosses val="autoZero"/>
        <c:auto val="1"/>
        <c:lblAlgn val="ctr"/>
        <c:lblOffset val="100"/>
        <c:noMultiLvlLbl val="0"/>
      </c:catAx>
      <c:valAx>
        <c:axId val="101893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34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AC-4DC7-94B2-4591F2C66A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AC-4DC7-94B2-4591F2C66AD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AC-4DC7-94B2-4591F2C66AD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F11-487C-8291-EC81CE19507C}"/>
              </c:ext>
            </c:extLst>
          </c:dPt>
          <c:cat>
            <c:strRef>
              <c:f>Sheet3!$A$28:$A$32</c:f>
              <c:strCache>
                <c:ptCount val="4"/>
                <c:pt idx="0">
                  <c:v>Clothing</c:v>
                </c:pt>
                <c:pt idx="1">
                  <c:v>Electronics</c:v>
                </c:pt>
                <c:pt idx="2">
                  <c:v>Furniture</c:v>
                </c:pt>
                <c:pt idx="3">
                  <c:v>(blank)</c:v>
                </c:pt>
              </c:strCache>
            </c:strRef>
          </c:cat>
          <c:val>
            <c:numRef>
              <c:f>Sheet3!$B$28:$B$32</c:f>
              <c:numCache>
                <c:formatCode>General</c:formatCode>
                <c:ptCount val="4"/>
                <c:pt idx="0">
                  <c:v>3133755.2799999989</c:v>
                </c:pt>
                <c:pt idx="1">
                  <c:v>2401740.7400000016</c:v>
                </c:pt>
                <c:pt idx="2">
                  <c:v>3259742.5699999994</c:v>
                </c:pt>
              </c:numCache>
            </c:numRef>
          </c:val>
          <c:extLst>
            <c:ext xmlns:c16="http://schemas.microsoft.com/office/drawing/2014/chart" uri="{C3380CC4-5D6E-409C-BE32-E72D297353CC}">
              <c16:uniqueId val="{00000000-3DB1-4B47-96CA-3F05230C8AC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Sheet3!$O$3</c:f>
              <c:strCache>
                <c:ptCount val="1"/>
                <c:pt idx="0">
                  <c:v>Total</c:v>
                </c:pt>
              </c:strCache>
            </c:strRef>
          </c:tx>
          <c:spPr>
            <a:solidFill>
              <a:schemeClr val="accent1"/>
            </a:solidFill>
            <a:ln>
              <a:noFill/>
            </a:ln>
            <a:effectLst/>
            <a:sp3d/>
          </c:spPr>
          <c:invertIfNegative val="0"/>
          <c:cat>
            <c:strRef>
              <c:f>Sheet3!$N$4:$N$9</c:f>
              <c:strCache>
                <c:ptCount val="5"/>
                <c:pt idx="0">
                  <c:v>East</c:v>
                </c:pt>
                <c:pt idx="1">
                  <c:v>North</c:v>
                </c:pt>
                <c:pt idx="2">
                  <c:v>South</c:v>
                </c:pt>
                <c:pt idx="3">
                  <c:v>West</c:v>
                </c:pt>
                <c:pt idx="4">
                  <c:v>(blank)</c:v>
                </c:pt>
              </c:strCache>
            </c:strRef>
          </c:cat>
          <c:val>
            <c:numRef>
              <c:f>Sheet3!$O$4:$O$9</c:f>
              <c:numCache>
                <c:formatCode>General</c:formatCode>
                <c:ptCount val="5"/>
                <c:pt idx="0">
                  <c:v>2243006.5499999998</c:v>
                </c:pt>
                <c:pt idx="1">
                  <c:v>2635652.5500000003</c:v>
                </c:pt>
                <c:pt idx="2">
                  <c:v>1981108.6399999994</c:v>
                </c:pt>
                <c:pt idx="3">
                  <c:v>1935470.8500000003</c:v>
                </c:pt>
              </c:numCache>
            </c:numRef>
          </c:val>
          <c:extLst>
            <c:ext xmlns:c16="http://schemas.microsoft.com/office/drawing/2014/chart" uri="{C3380CC4-5D6E-409C-BE32-E72D297353CC}">
              <c16:uniqueId val="{00000000-0DB6-4B67-93CC-14D4FA821FB9}"/>
            </c:ext>
          </c:extLst>
        </c:ser>
        <c:dLbls>
          <c:showLegendKey val="0"/>
          <c:showVal val="0"/>
          <c:showCatName val="0"/>
          <c:showSerName val="0"/>
          <c:showPercent val="0"/>
          <c:showBubbleSize val="0"/>
        </c:dLbls>
        <c:gapWidth val="150"/>
        <c:shape val="box"/>
        <c:axId val="1021374792"/>
        <c:axId val="1021375512"/>
        <c:axId val="0"/>
      </c:bar3DChart>
      <c:catAx>
        <c:axId val="1021374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5512"/>
        <c:crosses val="autoZero"/>
        <c:auto val="1"/>
        <c:lblAlgn val="ctr"/>
        <c:lblOffset val="100"/>
        <c:noMultiLvlLbl val="0"/>
      </c:catAx>
      <c:valAx>
        <c:axId val="1021375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4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Sheet3!$O$21</c:f>
              <c:strCache>
                <c:ptCount val="1"/>
                <c:pt idx="0">
                  <c:v>Total</c:v>
                </c:pt>
              </c:strCache>
            </c:strRef>
          </c:tx>
          <c:spPr>
            <a:solidFill>
              <a:schemeClr val="accent1"/>
            </a:solidFill>
            <a:ln>
              <a:noFill/>
            </a:ln>
            <a:effectLst/>
            <a:sp3d/>
          </c:spPr>
          <c:invertIfNegative val="0"/>
          <c:cat>
            <c:strRef>
              <c:f>Sheet3!$N$22:$N$28</c:f>
              <c:strCache>
                <c:ptCount val="6"/>
                <c:pt idx="0">
                  <c:v>Aman</c:v>
                </c:pt>
                <c:pt idx="1">
                  <c:v>Arjun</c:v>
                </c:pt>
                <c:pt idx="2">
                  <c:v>Neha</c:v>
                </c:pt>
                <c:pt idx="3">
                  <c:v>Priya</c:v>
                </c:pt>
                <c:pt idx="4">
                  <c:v>Rahul</c:v>
                </c:pt>
                <c:pt idx="5">
                  <c:v>Sneha</c:v>
                </c:pt>
              </c:strCache>
            </c:strRef>
          </c:cat>
          <c:val>
            <c:numRef>
              <c:f>Sheet3!$O$22:$O$28</c:f>
              <c:numCache>
                <c:formatCode>General</c:formatCode>
                <c:ptCount val="6"/>
                <c:pt idx="0">
                  <c:v>1404074.4899999998</c:v>
                </c:pt>
                <c:pt idx="1">
                  <c:v>1449173.29</c:v>
                </c:pt>
                <c:pt idx="2">
                  <c:v>1411114.6799999997</c:v>
                </c:pt>
                <c:pt idx="3">
                  <c:v>1217064.5999999999</c:v>
                </c:pt>
                <c:pt idx="4">
                  <c:v>1517038.5799999998</c:v>
                </c:pt>
                <c:pt idx="5">
                  <c:v>1796772.9500000002</c:v>
                </c:pt>
              </c:numCache>
            </c:numRef>
          </c:val>
          <c:extLst>
            <c:ext xmlns:c16="http://schemas.microsoft.com/office/drawing/2014/chart" uri="{C3380CC4-5D6E-409C-BE32-E72D297353CC}">
              <c16:uniqueId val="{00000000-DF7C-4C23-8E8D-3411C1AE3419}"/>
            </c:ext>
          </c:extLst>
        </c:ser>
        <c:dLbls>
          <c:showLegendKey val="0"/>
          <c:showVal val="0"/>
          <c:showCatName val="0"/>
          <c:showSerName val="0"/>
          <c:showPercent val="0"/>
          <c:showBubbleSize val="0"/>
        </c:dLbls>
        <c:gapWidth val="150"/>
        <c:shape val="box"/>
        <c:axId val="1021371552"/>
        <c:axId val="1021372272"/>
        <c:axId val="0"/>
      </c:bar3DChart>
      <c:catAx>
        <c:axId val="102137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2272"/>
        <c:crosses val="autoZero"/>
        <c:auto val="1"/>
        <c:lblAlgn val="ctr"/>
        <c:lblOffset val="100"/>
        <c:noMultiLvlLbl val="0"/>
      </c:catAx>
      <c:valAx>
        <c:axId val="102137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[sales_dashboard_dataset_200_rows.xlsx]Sheet3!PivotTable1</c:name>
    <c:fmtId val="6"/>
  </c:pivotSource>
  <c:chart>
    <c:title>
      <c:tx>
        <c:rich>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r>
              <a:rPr lang="en-US" sz="1600" u="sng"/>
              <a:t>Revenue Per Month</a:t>
            </a:r>
          </a:p>
        </c:rich>
      </c:tx>
      <c:layout>
        <c:manualLayout>
          <c:xMode val="edge"/>
          <c:yMode val="edge"/>
          <c:x val="0.35274555297757154"/>
          <c:y val="4.1694511433303307E-2"/>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17370442059905E-2"/>
          <c:y val="0.2431119311193112"/>
          <c:w val="0.88510514347997671"/>
          <c:h val="0.61421729571626427"/>
        </c:manualLayout>
      </c:layout>
      <c:lineChart>
        <c:grouping val="standard"/>
        <c:varyColors val="0"/>
        <c:ser>
          <c:idx val="0"/>
          <c:order val="0"/>
          <c:tx>
            <c:strRef>
              <c:f>Sheet3!$B$3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4842576</c:v>
                </c:pt>
                <c:pt idx="1">
                  <c:v>3825947</c:v>
                </c:pt>
                <c:pt idx="2">
                  <c:v>6741203</c:v>
                </c:pt>
                <c:pt idx="3">
                  <c:v>5121394</c:v>
                </c:pt>
                <c:pt idx="4">
                  <c:v>7246134</c:v>
                </c:pt>
                <c:pt idx="5">
                  <c:v>3596468</c:v>
                </c:pt>
              </c:numCache>
            </c:numRef>
          </c:val>
          <c:smooth val="0"/>
          <c:extLst>
            <c:ext xmlns:c16="http://schemas.microsoft.com/office/drawing/2014/chart" uri="{C3380CC4-5D6E-409C-BE32-E72D297353CC}">
              <c16:uniqueId val="{00000000-D6A5-4E5A-B42C-51B874A506E6}"/>
            </c:ext>
          </c:extLst>
        </c:ser>
        <c:dLbls>
          <c:showLegendKey val="0"/>
          <c:showVal val="0"/>
          <c:showCatName val="0"/>
          <c:showSerName val="0"/>
          <c:showPercent val="0"/>
          <c:showBubbleSize val="0"/>
        </c:dLbls>
        <c:marker val="1"/>
        <c:smooth val="0"/>
        <c:axId val="1018934056"/>
        <c:axId val="1018933696"/>
      </c:lineChart>
      <c:catAx>
        <c:axId val="10189340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8933696"/>
        <c:crosses val="autoZero"/>
        <c:auto val="1"/>
        <c:lblAlgn val="ctr"/>
        <c:lblOffset val="100"/>
        <c:noMultiLvlLbl val="0"/>
      </c:catAx>
      <c:valAx>
        <c:axId val="1018933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8934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Sheet3!$O$3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Sheet3!$N$4:$N$9</c:f>
              <c:strCache>
                <c:ptCount val="5"/>
                <c:pt idx="0">
                  <c:v>East</c:v>
                </c:pt>
                <c:pt idx="1">
                  <c:v>North</c:v>
                </c:pt>
                <c:pt idx="2">
                  <c:v>South</c:v>
                </c:pt>
                <c:pt idx="3">
                  <c:v>West</c:v>
                </c:pt>
                <c:pt idx="4">
                  <c:v>(blank)</c:v>
                </c:pt>
              </c:strCache>
            </c:strRef>
          </c:cat>
          <c:val>
            <c:numRef>
              <c:f>Sheet3!$O$4:$O$9</c:f>
              <c:numCache>
                <c:formatCode>General</c:formatCode>
                <c:ptCount val="5"/>
                <c:pt idx="0">
                  <c:v>2243006.5499999998</c:v>
                </c:pt>
                <c:pt idx="1">
                  <c:v>2635652.5500000003</c:v>
                </c:pt>
                <c:pt idx="2">
                  <c:v>1981108.6399999994</c:v>
                </c:pt>
                <c:pt idx="3">
                  <c:v>1935470.8500000003</c:v>
                </c:pt>
              </c:numCache>
            </c:numRef>
          </c:val>
          <c:extLst>
            <c:ext xmlns:c16="http://schemas.microsoft.com/office/drawing/2014/chart" uri="{C3380CC4-5D6E-409C-BE32-E72D297353CC}">
              <c16:uniqueId val="{00000000-A383-4475-9231-170FD9C368C9}"/>
            </c:ext>
          </c:extLst>
        </c:ser>
        <c:dLbls>
          <c:showLegendKey val="0"/>
          <c:showVal val="0"/>
          <c:showCatName val="0"/>
          <c:showSerName val="0"/>
          <c:showPercent val="0"/>
          <c:showBubbleSize val="0"/>
        </c:dLbls>
        <c:gapWidth val="150"/>
        <c:shape val="box"/>
        <c:axId val="1021374792"/>
        <c:axId val="1021375512"/>
        <c:axId val="0"/>
      </c:bar3DChart>
      <c:catAx>
        <c:axId val="10213747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5512"/>
        <c:crosses val="autoZero"/>
        <c:auto val="1"/>
        <c:lblAlgn val="ctr"/>
        <c:lblOffset val="100"/>
        <c:noMultiLvlLbl val="0"/>
      </c:catAx>
      <c:valAx>
        <c:axId val="1021375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4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[sales_dashboard_dataset_200_rows.xlsx]Sheet3!PivotTable2</c:name>
    <c:fmtId val="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9000872040832031E-2"/>
              <c:y val="-3.663003663003663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28513084887190399"/>
                  <c:h val="0.19786324786324785"/>
                </c:manualLayout>
              </c15:layout>
              <c15:showDataLabelsRange val="0"/>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34717698154180238"/>
                  <c:h val="0.16733821733821733"/>
                </c:manualLayout>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6.1050061050061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31031487513572203"/>
                  <c:h val="0.16733821733821733"/>
                </c:manualLayout>
              </c15:layout>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072969299033042E-2"/>
          <c:y val="0.19681001413284882"/>
          <c:w val="0.82614070635307379"/>
          <c:h val="0.8017401670944978"/>
        </c:manualLayout>
      </c:layout>
      <c:pie3DChart>
        <c:varyColors val="1"/>
        <c:ser>
          <c:idx val="0"/>
          <c:order val="0"/>
          <c:tx>
            <c:strRef>
              <c:f>Sheet3!$B$27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0BA-445C-B7F2-8F402914ABC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0BA-445C-B7F2-8F402914ABC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0BA-445C-B7F2-8F402914ABC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0BA-445C-B7F2-8F402914ABCF}"/>
              </c:ext>
            </c:extLst>
          </c:dPt>
          <c:dLbls>
            <c:dLbl>
              <c:idx val="0"/>
              <c:layout>
                <c:manualLayout>
                  <c:x val="-1.9000872040832031E-2"/>
                  <c:y val="-3.6630036630036632E-2"/>
                </c:manualLayout>
              </c:layout>
              <c:tx>
                <c:rich>
                  <a:bodyPr/>
                  <a:lstStyle/>
                  <a:p>
                    <a:r>
                      <a:rPr lang="en-US"/>
                      <a:t>Clothing</a:t>
                    </a:r>
                  </a:p>
                </c:rich>
              </c:tx>
              <c:dLblPos val="bestFit"/>
              <c:showLegendKey val="0"/>
              <c:showVal val="0"/>
              <c:showCatName val="1"/>
              <c:showSerName val="0"/>
              <c:showPercent val="0"/>
              <c:showBubbleSize val="0"/>
              <c:extLst>
                <c:ext xmlns:c15="http://schemas.microsoft.com/office/drawing/2012/chart" uri="{CE6537A1-D6FC-4f65-9D91-7224C49458BB}">
                  <c15:layout>
                    <c:manualLayout>
                      <c:w val="0.28513084887190399"/>
                      <c:h val="0.19786324786324785"/>
                    </c:manualLayout>
                  </c15:layout>
                  <c15:showDataLabelsRange val="0"/>
                </c:ext>
                <c:ext xmlns:c16="http://schemas.microsoft.com/office/drawing/2014/chart" uri="{C3380CC4-5D6E-409C-BE32-E72D297353CC}">
                  <c16:uniqueId val="{00000001-40BA-445C-B7F2-8F402914ABCF}"/>
                </c:ext>
              </c:extLst>
            </c:dLbl>
            <c:dLbl>
              <c:idx val="1"/>
              <c:dLblPos val="outEnd"/>
              <c:showLegendKey val="0"/>
              <c:showVal val="0"/>
              <c:showCatName val="1"/>
              <c:showSerName val="0"/>
              <c:showPercent val="0"/>
              <c:showBubbleSize val="0"/>
              <c:extLst>
                <c:ext xmlns:c15="http://schemas.microsoft.com/office/drawing/2012/chart" uri="{CE6537A1-D6FC-4f65-9D91-7224C49458BB}">
                  <c15:layout>
                    <c:manualLayout>
                      <c:w val="0.34717698154180238"/>
                      <c:h val="0.16733821733821733"/>
                    </c:manualLayout>
                  </c15:layout>
                </c:ext>
                <c:ext xmlns:c16="http://schemas.microsoft.com/office/drawing/2014/chart" uri="{C3380CC4-5D6E-409C-BE32-E72D297353CC}">
                  <c16:uniqueId val="{00000003-40BA-445C-B7F2-8F402914ABCF}"/>
                </c:ext>
              </c:extLst>
            </c:dLbl>
            <c:dLbl>
              <c:idx val="2"/>
              <c:layout>
                <c:manualLayout>
                  <c:x val="0"/>
                  <c:y val="-6.1050061050061104E-2"/>
                </c:manualLayout>
              </c:layout>
              <c:dLblPos val="bestFit"/>
              <c:showLegendKey val="0"/>
              <c:showVal val="0"/>
              <c:showCatName val="1"/>
              <c:showSerName val="0"/>
              <c:showPercent val="0"/>
              <c:showBubbleSize val="0"/>
              <c:extLst>
                <c:ext xmlns:c15="http://schemas.microsoft.com/office/drawing/2012/chart" uri="{CE6537A1-D6FC-4f65-9D91-7224C49458BB}">
                  <c15:layout>
                    <c:manualLayout>
                      <c:w val="0.31031487513572203"/>
                      <c:h val="0.16733821733821733"/>
                    </c:manualLayout>
                  </c15:layout>
                </c:ext>
                <c:ext xmlns:c16="http://schemas.microsoft.com/office/drawing/2014/chart" uri="{C3380CC4-5D6E-409C-BE32-E72D297353CC}">
                  <c16:uniqueId val="{00000005-40BA-445C-B7F2-8F402914ABC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6="http://schemas.microsoft.com/office/drawing/2014/chart" uri="{C3380CC4-5D6E-409C-BE32-E72D297353CC}">
                  <c16:uniqueId val="{0000000F-40BA-445C-B7F2-8F402914AB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Sheet3!$A$28:$A$32</c:f>
              <c:strCache>
                <c:ptCount val="4"/>
                <c:pt idx="0">
                  <c:v>Clothing</c:v>
                </c:pt>
                <c:pt idx="1">
                  <c:v>Electronics</c:v>
                </c:pt>
                <c:pt idx="2">
                  <c:v>Furniture</c:v>
                </c:pt>
                <c:pt idx="3">
                  <c:v>(blank)</c:v>
                </c:pt>
              </c:strCache>
            </c:strRef>
          </c:cat>
          <c:val>
            <c:numRef>
              <c:f>Sheet3!$B$28:$B$32</c:f>
              <c:numCache>
                <c:formatCode>General</c:formatCode>
                <c:ptCount val="4"/>
                <c:pt idx="0">
                  <c:v>3133755.2799999989</c:v>
                </c:pt>
                <c:pt idx="1">
                  <c:v>2401740.7400000016</c:v>
                </c:pt>
                <c:pt idx="2">
                  <c:v>3259742.5699999994</c:v>
                </c:pt>
              </c:numCache>
            </c:numRef>
          </c:val>
          <c:extLst>
            <c:ext xmlns:c16="http://schemas.microsoft.com/office/drawing/2014/chart" uri="{C3380CC4-5D6E-409C-BE32-E72D297353CC}">
              <c16:uniqueId val="{00000006-40BA-445C-B7F2-8F402914ABC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[sales_dashboard_dataset_200_rows.xlsx]Sheet3!PivotTable4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13991980644114"/>
          <c:y val="0.21525215252152521"/>
          <c:w val="0.65149743089931345"/>
          <c:h val="0.64207707431405026"/>
        </c:manualLayout>
      </c:layout>
      <c:bar3DChart>
        <c:barDir val="bar"/>
        <c:grouping val="clustered"/>
        <c:varyColors val="0"/>
        <c:ser>
          <c:idx val="0"/>
          <c:order val="0"/>
          <c:tx>
            <c:strRef>
              <c:f>Sheet3!$O$21</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invertIfNegative val="0"/>
          <c:cat>
            <c:strRef>
              <c:f>Sheet3!$N$22:$N$28</c:f>
              <c:strCache>
                <c:ptCount val="6"/>
                <c:pt idx="0">
                  <c:v>Aman</c:v>
                </c:pt>
                <c:pt idx="1">
                  <c:v>Arjun</c:v>
                </c:pt>
                <c:pt idx="2">
                  <c:v>Neha</c:v>
                </c:pt>
                <c:pt idx="3">
                  <c:v>Priya</c:v>
                </c:pt>
                <c:pt idx="4">
                  <c:v>Rahul</c:v>
                </c:pt>
                <c:pt idx="5">
                  <c:v>Sneha</c:v>
                </c:pt>
              </c:strCache>
            </c:strRef>
          </c:cat>
          <c:val>
            <c:numRef>
              <c:f>Sheet3!$O$22:$O$28</c:f>
              <c:numCache>
                <c:formatCode>General</c:formatCode>
                <c:ptCount val="6"/>
                <c:pt idx="0">
                  <c:v>1404074.4899999998</c:v>
                </c:pt>
                <c:pt idx="1">
                  <c:v>1449173.29</c:v>
                </c:pt>
                <c:pt idx="2">
                  <c:v>1411114.6799999997</c:v>
                </c:pt>
                <c:pt idx="3">
                  <c:v>1217064.5999999999</c:v>
                </c:pt>
                <c:pt idx="4">
                  <c:v>1517038.5799999998</c:v>
                </c:pt>
                <c:pt idx="5">
                  <c:v>1796772.9500000002</c:v>
                </c:pt>
              </c:numCache>
            </c:numRef>
          </c:val>
          <c:extLst>
            <c:ext xmlns:c16="http://schemas.microsoft.com/office/drawing/2014/chart" uri="{C3380CC4-5D6E-409C-BE32-E72D297353CC}">
              <c16:uniqueId val="{00000000-1509-410F-A1C2-CE45C1D9CD7E}"/>
            </c:ext>
          </c:extLst>
        </c:ser>
        <c:dLbls>
          <c:showLegendKey val="0"/>
          <c:showVal val="0"/>
          <c:showCatName val="0"/>
          <c:showSerName val="0"/>
          <c:showPercent val="0"/>
          <c:showBubbleSize val="0"/>
        </c:dLbls>
        <c:gapWidth val="150"/>
        <c:shape val="box"/>
        <c:axId val="1021371552"/>
        <c:axId val="1021372272"/>
        <c:axId val="0"/>
      </c:bar3DChart>
      <c:catAx>
        <c:axId val="102137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21372272"/>
        <c:crosses val="autoZero"/>
        <c:auto val="1"/>
        <c:lblAlgn val="ctr"/>
        <c:lblOffset val="100"/>
        <c:noMultiLvlLbl val="0"/>
      </c:catAx>
      <c:valAx>
        <c:axId val="102137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2137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https://www.pexels.com/photo/gray-and-blue-stainless-steel-shopping-cart-953862/" TargetMode="External"/><Relationship Id="rId3" Type="http://schemas.openxmlformats.org/officeDocument/2006/relationships/image" Target="../media/image2.jpeg"/><Relationship Id="rId7" Type="http://schemas.openxmlformats.org/officeDocument/2006/relationships/image" Target="../media/image4.jpeg"/><Relationship Id="rId12" Type="http://schemas.openxmlformats.org/officeDocument/2006/relationships/chart" Target="../charts/chart8.xml"/><Relationship Id="rId2" Type="http://schemas.openxmlformats.org/officeDocument/2006/relationships/hyperlink" Target="https://pixabay.com/vectors/sack-bag-canvas-full-food-cloth-576569/" TargetMode="External"/><Relationship Id="rId1" Type="http://schemas.openxmlformats.org/officeDocument/2006/relationships/image" Target="../media/image1.png"/><Relationship Id="rId6" Type="http://schemas.openxmlformats.org/officeDocument/2006/relationships/hyperlink" Target="https://www.rawpixel.com/search/parcel?sort=curated&amp;page=1" TargetMode="External"/><Relationship Id="rId11" Type="http://schemas.openxmlformats.org/officeDocument/2006/relationships/chart" Target="../charts/chart7.xml"/><Relationship Id="rId5" Type="http://schemas.openxmlformats.org/officeDocument/2006/relationships/image" Target="../media/image3.jpeg"/><Relationship Id="rId10" Type="http://schemas.openxmlformats.org/officeDocument/2006/relationships/chart" Target="../charts/chart6.xml"/><Relationship Id="rId4" Type="http://schemas.openxmlformats.org/officeDocument/2006/relationships/hyperlink" Target="https://www.sqkaccountancy.co.uk/how-to-increase-profit-without-increasing-sales/" TargetMode="Externa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137160</xdr:colOff>
      <xdr:row>1</xdr:row>
      <xdr:rowOff>114300</xdr:rowOff>
    </xdr:from>
    <xdr:to>
      <xdr:col>10</xdr:col>
      <xdr:colOff>441960</xdr:colOff>
      <xdr:row>16</xdr:row>
      <xdr:rowOff>114300</xdr:rowOff>
    </xdr:to>
    <xdr:graphicFrame macro="">
      <xdr:nvGraphicFramePr>
        <xdr:cNvPr id="2" name="Chart 1">
          <a:extLst>
            <a:ext uri="{FF2B5EF4-FFF2-40B4-BE49-F238E27FC236}">
              <a16:creationId xmlns:a16="http://schemas.microsoft.com/office/drawing/2014/main" id="{186746E8-000D-FC97-9B8C-8132EC52D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21</xdr:row>
      <xdr:rowOff>60960</xdr:rowOff>
    </xdr:from>
    <xdr:to>
      <xdr:col>10</xdr:col>
      <xdr:colOff>365760</xdr:colOff>
      <xdr:row>36</xdr:row>
      <xdr:rowOff>60960</xdr:rowOff>
    </xdr:to>
    <xdr:graphicFrame macro="">
      <xdr:nvGraphicFramePr>
        <xdr:cNvPr id="3" name="Chart 2">
          <a:extLst>
            <a:ext uri="{FF2B5EF4-FFF2-40B4-BE49-F238E27FC236}">
              <a16:creationId xmlns:a16="http://schemas.microsoft.com/office/drawing/2014/main" id="{C1C94A90-53E7-6133-A132-46AFD0C2E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60960</xdr:colOff>
      <xdr:row>2</xdr:row>
      <xdr:rowOff>45720</xdr:rowOff>
    </xdr:from>
    <xdr:to>
      <xdr:col>23</xdr:col>
      <xdr:colOff>365760</xdr:colOff>
      <xdr:row>17</xdr:row>
      <xdr:rowOff>45720</xdr:rowOff>
    </xdr:to>
    <xdr:graphicFrame macro="">
      <xdr:nvGraphicFramePr>
        <xdr:cNvPr id="4" name="Chart 3">
          <a:extLst>
            <a:ext uri="{FF2B5EF4-FFF2-40B4-BE49-F238E27FC236}">
              <a16:creationId xmlns:a16="http://schemas.microsoft.com/office/drawing/2014/main" id="{BBF85C12-EDD6-3584-3FDC-3E647598C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53340</xdr:colOff>
      <xdr:row>19</xdr:row>
      <xdr:rowOff>106680</xdr:rowOff>
    </xdr:from>
    <xdr:to>
      <xdr:col>23</xdr:col>
      <xdr:colOff>358140</xdr:colOff>
      <xdr:row>34</xdr:row>
      <xdr:rowOff>106680</xdr:rowOff>
    </xdr:to>
    <xdr:graphicFrame macro="">
      <xdr:nvGraphicFramePr>
        <xdr:cNvPr id="5" name="Chart 4">
          <a:extLst>
            <a:ext uri="{FF2B5EF4-FFF2-40B4-BE49-F238E27FC236}">
              <a16:creationId xmlns:a16="http://schemas.microsoft.com/office/drawing/2014/main" id="{11671150-7FE3-E3EA-ACF3-B3F350ED6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160020</xdr:colOff>
      <xdr:row>4</xdr:row>
      <xdr:rowOff>144780</xdr:rowOff>
    </xdr:from>
    <xdr:to>
      <xdr:col>4</xdr:col>
      <xdr:colOff>457200</xdr:colOff>
      <xdr:row>9</xdr:row>
      <xdr:rowOff>15240</xdr:rowOff>
    </xdr:to>
    <xdr:sp macro="" textlink="">
      <xdr:nvSpPr>
        <xdr:cNvPr id="2" name="Rectangle: Rounded Corners 1">
          <a:extLst>
            <a:ext uri="{FF2B5EF4-FFF2-40B4-BE49-F238E27FC236}">
              <a16:creationId xmlns:a16="http://schemas.microsoft.com/office/drawing/2014/main" id="{055D10DC-A6C4-FBF5-3BF4-289B5E3A6721}"/>
            </a:ext>
          </a:extLst>
        </xdr:cNvPr>
        <xdr:cNvSpPr/>
      </xdr:nvSpPr>
      <xdr:spPr>
        <a:xfrm>
          <a:off x="1379220" y="883920"/>
          <a:ext cx="151638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ysClr val="windowText" lastClr="000000"/>
              </a:solidFill>
            </a:rPr>
            <a:t>Total Revenue</a:t>
          </a:r>
        </a:p>
        <a:p>
          <a:pPr algn="l"/>
          <a:r>
            <a:rPr lang="en-IN" sz="1200" b="1">
              <a:solidFill>
                <a:sysClr val="windowText" lastClr="000000"/>
              </a:solidFill>
            </a:rPr>
            <a:t>            </a:t>
          </a:r>
        </a:p>
        <a:p>
          <a:pPr algn="l"/>
          <a:r>
            <a:rPr lang="en-IN" sz="1200" b="1" baseline="0">
              <a:solidFill>
                <a:sysClr val="windowText" lastClr="000000"/>
              </a:solidFill>
            </a:rPr>
            <a:t>            </a:t>
          </a:r>
          <a:r>
            <a:rPr lang="en-IN" sz="1200" b="1">
              <a:solidFill>
                <a:sysClr val="windowText" lastClr="000000"/>
              </a:solidFill>
            </a:rPr>
            <a:t>₹ </a:t>
          </a:r>
          <a:r>
            <a:rPr lang="en-IN" sz="1400" b="1" i="0" u="none" strike="noStrike">
              <a:solidFill>
                <a:sysClr val="windowText" lastClr="000000"/>
              </a:solidFill>
              <a:effectLst/>
              <a:latin typeface="+mn-lt"/>
              <a:ea typeface="+mn-ea"/>
              <a:cs typeface="+mn-cs"/>
            </a:rPr>
            <a:t>31373722</a:t>
          </a:r>
          <a:r>
            <a:rPr lang="en-IN" sz="1200" b="1">
              <a:solidFill>
                <a:sysClr val="windowText" lastClr="000000"/>
              </a:solidFill>
              <a:effectLst/>
            </a:rPr>
            <a:t> </a:t>
          </a:r>
          <a:endParaRPr lang="en-IN" sz="1200" b="1">
            <a:solidFill>
              <a:sysClr val="windowText" lastClr="000000"/>
            </a:solidFill>
          </a:endParaRPr>
        </a:p>
      </xdr:txBody>
    </xdr:sp>
    <xdr:clientData/>
  </xdr:twoCellAnchor>
  <xdr:twoCellAnchor>
    <xdr:from>
      <xdr:col>4</xdr:col>
      <xdr:colOff>533400</xdr:colOff>
      <xdr:row>4</xdr:row>
      <xdr:rowOff>144780</xdr:rowOff>
    </xdr:from>
    <xdr:to>
      <xdr:col>7</xdr:col>
      <xdr:colOff>342900</xdr:colOff>
      <xdr:row>9</xdr:row>
      <xdr:rowOff>15240</xdr:rowOff>
    </xdr:to>
    <xdr:sp macro="" textlink="">
      <xdr:nvSpPr>
        <xdr:cNvPr id="3" name="Rectangle: Rounded Corners 2">
          <a:extLst>
            <a:ext uri="{FF2B5EF4-FFF2-40B4-BE49-F238E27FC236}">
              <a16:creationId xmlns:a16="http://schemas.microsoft.com/office/drawing/2014/main" id="{3D1B65FA-851F-4F9D-AE89-E6A0E9085750}"/>
            </a:ext>
          </a:extLst>
        </xdr:cNvPr>
        <xdr:cNvSpPr/>
      </xdr:nvSpPr>
      <xdr:spPr>
        <a:xfrm>
          <a:off x="2971800" y="883920"/>
          <a:ext cx="163830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ysClr val="windowText" lastClr="000000"/>
              </a:solidFill>
            </a:rPr>
            <a:t>Total Profit</a:t>
          </a:r>
        </a:p>
        <a:p>
          <a:pPr algn="l"/>
          <a:r>
            <a:rPr lang="en-IN" sz="1200" b="1">
              <a:solidFill>
                <a:sysClr val="windowText" lastClr="000000"/>
              </a:solidFill>
            </a:rPr>
            <a:t>                  </a:t>
          </a:r>
        </a:p>
        <a:p>
          <a:pPr algn="l"/>
          <a:r>
            <a:rPr lang="en-IN" sz="1200" b="1">
              <a:solidFill>
                <a:sysClr val="windowText" lastClr="000000"/>
              </a:solidFill>
            </a:rPr>
            <a:t>              </a:t>
          </a:r>
          <a:r>
            <a:rPr lang="en-IN" sz="1200" b="1" baseline="0">
              <a:solidFill>
                <a:sysClr val="windowText" lastClr="000000"/>
              </a:solidFill>
            </a:rPr>
            <a:t> </a:t>
          </a:r>
          <a:r>
            <a:rPr lang="en-IN" sz="1400" b="1">
              <a:solidFill>
                <a:sysClr val="windowText" lastClr="000000"/>
              </a:solidFill>
            </a:rPr>
            <a:t>₹8795238.6</a:t>
          </a:r>
          <a:endParaRPr lang="en-IN" sz="1200" b="1">
            <a:solidFill>
              <a:sysClr val="windowText" lastClr="000000"/>
            </a:solidFill>
          </a:endParaRPr>
        </a:p>
      </xdr:txBody>
    </xdr:sp>
    <xdr:clientData/>
  </xdr:twoCellAnchor>
  <xdr:twoCellAnchor>
    <xdr:from>
      <xdr:col>7</xdr:col>
      <xdr:colOff>411480</xdr:colOff>
      <xdr:row>4</xdr:row>
      <xdr:rowOff>144780</xdr:rowOff>
    </xdr:from>
    <xdr:to>
      <xdr:col>10</xdr:col>
      <xdr:colOff>83820</xdr:colOff>
      <xdr:row>9</xdr:row>
      <xdr:rowOff>15240</xdr:rowOff>
    </xdr:to>
    <xdr:sp macro="" textlink="">
      <xdr:nvSpPr>
        <xdr:cNvPr id="4" name="Rectangle: Rounded Corners 3">
          <a:extLst>
            <a:ext uri="{FF2B5EF4-FFF2-40B4-BE49-F238E27FC236}">
              <a16:creationId xmlns:a16="http://schemas.microsoft.com/office/drawing/2014/main" id="{9403CE83-9E4B-4528-87E4-FC43768FA60F}"/>
            </a:ext>
          </a:extLst>
        </xdr:cNvPr>
        <xdr:cNvSpPr/>
      </xdr:nvSpPr>
      <xdr:spPr>
        <a:xfrm>
          <a:off x="4678680" y="883920"/>
          <a:ext cx="150114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ysClr val="windowText" lastClr="000000"/>
              </a:solidFill>
            </a:rPr>
            <a:t>Total Order</a:t>
          </a:r>
        </a:p>
        <a:p>
          <a:pPr algn="l"/>
          <a:r>
            <a:rPr lang="en-IN" sz="1200" b="1">
              <a:solidFill>
                <a:sysClr val="windowText" lastClr="000000"/>
              </a:solidFill>
            </a:rPr>
            <a:t>                           </a:t>
          </a:r>
          <a:r>
            <a:rPr lang="en-IN" sz="1600" b="1">
              <a:solidFill>
                <a:sysClr val="windowText" lastClr="000000"/>
              </a:solidFill>
            </a:rPr>
            <a:t>200</a:t>
          </a:r>
          <a:endParaRPr lang="en-IN" sz="1200" b="1">
            <a:solidFill>
              <a:sysClr val="windowText" lastClr="000000"/>
            </a:solidFill>
          </a:endParaRPr>
        </a:p>
      </xdr:txBody>
    </xdr:sp>
    <xdr:clientData/>
  </xdr:twoCellAnchor>
  <xdr:twoCellAnchor>
    <xdr:from>
      <xdr:col>10</xdr:col>
      <xdr:colOff>144780</xdr:colOff>
      <xdr:row>4</xdr:row>
      <xdr:rowOff>144780</xdr:rowOff>
    </xdr:from>
    <xdr:to>
      <xdr:col>12</xdr:col>
      <xdr:colOff>441960</xdr:colOff>
      <xdr:row>9</xdr:row>
      <xdr:rowOff>15240</xdr:rowOff>
    </xdr:to>
    <xdr:sp macro="" textlink="">
      <xdr:nvSpPr>
        <xdr:cNvPr id="5" name="Rectangle: Rounded Corners 4">
          <a:extLst>
            <a:ext uri="{FF2B5EF4-FFF2-40B4-BE49-F238E27FC236}">
              <a16:creationId xmlns:a16="http://schemas.microsoft.com/office/drawing/2014/main" id="{CAE1927A-4949-40BB-929B-3201A5AF2C49}"/>
            </a:ext>
          </a:extLst>
        </xdr:cNvPr>
        <xdr:cNvSpPr/>
      </xdr:nvSpPr>
      <xdr:spPr>
        <a:xfrm>
          <a:off x="6240780" y="883920"/>
          <a:ext cx="151638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ysClr val="windowText" lastClr="000000"/>
              </a:solidFill>
            </a:rPr>
            <a:t>Total Quantity</a:t>
          </a:r>
        </a:p>
        <a:p>
          <a:pPr algn="l"/>
          <a:r>
            <a:rPr lang="en-IN" sz="1200" b="1" i="0" u="none" strike="noStrike">
              <a:solidFill>
                <a:sysClr val="windowText" lastClr="000000"/>
              </a:solidFill>
              <a:effectLst/>
              <a:latin typeface="+mn-lt"/>
              <a:ea typeface="+mn-ea"/>
              <a:cs typeface="+mn-cs"/>
            </a:rPr>
            <a:t>                        </a:t>
          </a:r>
          <a:r>
            <a:rPr lang="en-IN" sz="1600" b="1" i="0" u="none" strike="noStrike">
              <a:solidFill>
                <a:sysClr val="windowText" lastClr="000000"/>
              </a:solidFill>
              <a:effectLst/>
              <a:latin typeface="+mn-lt"/>
              <a:ea typeface="+mn-ea"/>
              <a:cs typeface="+mn-cs"/>
            </a:rPr>
            <a:t> </a:t>
          </a:r>
          <a:r>
            <a:rPr lang="en-IN" sz="1400" b="1" i="0" u="none" strike="noStrike">
              <a:solidFill>
                <a:sysClr val="windowText" lastClr="000000"/>
              </a:solidFill>
              <a:effectLst/>
              <a:latin typeface="+mn-lt"/>
              <a:ea typeface="+mn-ea"/>
              <a:cs typeface="+mn-cs"/>
            </a:rPr>
            <a:t>1106</a:t>
          </a:r>
          <a:r>
            <a:rPr lang="en-IN" sz="1600" b="1">
              <a:solidFill>
                <a:sysClr val="windowText" lastClr="000000"/>
              </a:solidFill>
              <a:effectLst/>
            </a:rPr>
            <a:t> </a:t>
          </a:r>
          <a:endParaRPr lang="en-IN" sz="1200" b="1">
            <a:solidFill>
              <a:sysClr val="windowText" lastClr="000000"/>
            </a:solidFill>
          </a:endParaRPr>
        </a:p>
      </xdr:txBody>
    </xdr:sp>
    <xdr:clientData/>
  </xdr:twoCellAnchor>
  <xdr:twoCellAnchor editAs="oneCell">
    <xdr:from>
      <xdr:col>2</xdr:col>
      <xdr:colOff>236220</xdr:colOff>
      <xdr:row>6</xdr:row>
      <xdr:rowOff>68580</xdr:rowOff>
    </xdr:from>
    <xdr:to>
      <xdr:col>3</xdr:col>
      <xdr:colOff>60960</xdr:colOff>
      <xdr:row>8</xdr:row>
      <xdr:rowOff>137160</xdr:rowOff>
    </xdr:to>
    <xdr:pic>
      <xdr:nvPicPr>
        <xdr:cNvPr id="9" name="Picture 8">
          <a:extLst>
            <a:ext uri="{FF2B5EF4-FFF2-40B4-BE49-F238E27FC236}">
              <a16:creationId xmlns:a16="http://schemas.microsoft.com/office/drawing/2014/main" id="{27BE3AE2-51BB-E6A9-399E-6AE3B9C9A8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455420" y="1173480"/>
          <a:ext cx="434340" cy="434340"/>
        </a:xfrm>
        <a:prstGeom prst="rect">
          <a:avLst/>
        </a:prstGeom>
      </xdr:spPr>
    </xdr:pic>
    <xdr:clientData/>
  </xdr:twoCellAnchor>
  <xdr:twoCellAnchor editAs="oneCell">
    <xdr:from>
      <xdr:col>5</xdr:col>
      <xdr:colOff>7621</xdr:colOff>
      <xdr:row>6</xdr:row>
      <xdr:rowOff>106680</xdr:rowOff>
    </xdr:from>
    <xdr:to>
      <xdr:col>5</xdr:col>
      <xdr:colOff>499110</xdr:colOff>
      <xdr:row>8</xdr:row>
      <xdr:rowOff>152399</xdr:rowOff>
    </xdr:to>
    <xdr:pic>
      <xdr:nvPicPr>
        <xdr:cNvPr id="17" name="Picture 16">
          <a:extLst>
            <a:ext uri="{FF2B5EF4-FFF2-40B4-BE49-F238E27FC236}">
              <a16:creationId xmlns:a16="http://schemas.microsoft.com/office/drawing/2014/main" id="{DDA81C28-318E-61D0-DFF3-259A3E68A67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l="9991" t="7397" r="8371" b="20477"/>
        <a:stretch>
          <a:fillRect/>
        </a:stretch>
      </xdr:blipFill>
      <xdr:spPr>
        <a:xfrm>
          <a:off x="3055621" y="1211580"/>
          <a:ext cx="491489" cy="411479"/>
        </a:xfrm>
        <a:prstGeom prst="rect">
          <a:avLst/>
        </a:prstGeom>
      </xdr:spPr>
    </xdr:pic>
    <xdr:clientData/>
  </xdr:twoCellAnchor>
  <xdr:twoCellAnchor editAs="oneCell">
    <xdr:from>
      <xdr:col>7</xdr:col>
      <xdr:colOff>525780</xdr:colOff>
      <xdr:row>6</xdr:row>
      <xdr:rowOff>106680</xdr:rowOff>
    </xdr:from>
    <xdr:to>
      <xdr:col>9</xdr:col>
      <xdr:colOff>60960</xdr:colOff>
      <xdr:row>8</xdr:row>
      <xdr:rowOff>121920</xdr:rowOff>
    </xdr:to>
    <xdr:pic>
      <xdr:nvPicPr>
        <xdr:cNvPr id="23" name="Picture 22">
          <a:extLst>
            <a:ext uri="{FF2B5EF4-FFF2-40B4-BE49-F238E27FC236}">
              <a16:creationId xmlns:a16="http://schemas.microsoft.com/office/drawing/2014/main" id="{6434942D-3976-55D4-00B5-DCFBEAC377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792980" y="1211580"/>
          <a:ext cx="754380" cy="381000"/>
        </a:xfrm>
        <a:prstGeom prst="rect">
          <a:avLst/>
        </a:prstGeom>
      </xdr:spPr>
    </xdr:pic>
    <xdr:clientData/>
  </xdr:twoCellAnchor>
  <xdr:twoCellAnchor editAs="oneCell">
    <xdr:from>
      <xdr:col>10</xdr:col>
      <xdr:colOff>243840</xdr:colOff>
      <xdr:row>6</xdr:row>
      <xdr:rowOff>68580</xdr:rowOff>
    </xdr:from>
    <xdr:to>
      <xdr:col>11</xdr:col>
      <xdr:colOff>373380</xdr:colOff>
      <xdr:row>8</xdr:row>
      <xdr:rowOff>141839</xdr:rowOff>
    </xdr:to>
    <xdr:pic>
      <xdr:nvPicPr>
        <xdr:cNvPr id="25" name="Picture 24">
          <a:extLst>
            <a:ext uri="{FF2B5EF4-FFF2-40B4-BE49-F238E27FC236}">
              <a16:creationId xmlns:a16="http://schemas.microsoft.com/office/drawing/2014/main" id="{122DF4A5-8672-31EA-BD9F-3101E1A944A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l="27007" t="8424" r="18960" b="8609"/>
        <a:stretch>
          <a:fillRect/>
        </a:stretch>
      </xdr:blipFill>
      <xdr:spPr>
        <a:xfrm>
          <a:off x="6339840" y="1173480"/>
          <a:ext cx="739140" cy="439019"/>
        </a:xfrm>
        <a:prstGeom prst="rect">
          <a:avLst/>
        </a:prstGeom>
      </xdr:spPr>
    </xdr:pic>
    <xdr:clientData/>
  </xdr:twoCellAnchor>
  <xdr:twoCellAnchor>
    <xdr:from>
      <xdr:col>2</xdr:col>
      <xdr:colOff>99060</xdr:colOff>
      <xdr:row>9</xdr:row>
      <xdr:rowOff>129540</xdr:rowOff>
    </xdr:from>
    <xdr:to>
      <xdr:col>12</xdr:col>
      <xdr:colOff>388620</xdr:colOff>
      <xdr:row>21</xdr:row>
      <xdr:rowOff>0</xdr:rowOff>
    </xdr:to>
    <xdr:graphicFrame macro="">
      <xdr:nvGraphicFramePr>
        <xdr:cNvPr id="28" name="Chart 27">
          <a:extLst>
            <a:ext uri="{FF2B5EF4-FFF2-40B4-BE49-F238E27FC236}">
              <a16:creationId xmlns:a16="http://schemas.microsoft.com/office/drawing/2014/main" id="{C5C20898-35FA-4799-838F-8DA9F5938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144780</xdr:colOff>
      <xdr:row>21</xdr:row>
      <xdr:rowOff>76200</xdr:rowOff>
    </xdr:from>
    <xdr:to>
      <xdr:col>6</xdr:col>
      <xdr:colOff>137160</xdr:colOff>
      <xdr:row>32</xdr:row>
      <xdr:rowOff>144780</xdr:rowOff>
    </xdr:to>
    <xdr:graphicFrame macro="">
      <xdr:nvGraphicFramePr>
        <xdr:cNvPr id="29" name="Chart 28">
          <a:extLst>
            <a:ext uri="{FF2B5EF4-FFF2-40B4-BE49-F238E27FC236}">
              <a16:creationId xmlns:a16="http://schemas.microsoft.com/office/drawing/2014/main" id="{03AF12AF-239A-4B73-B0A6-B8D075111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91440</xdr:colOff>
      <xdr:row>21</xdr:row>
      <xdr:rowOff>68580</xdr:rowOff>
    </xdr:from>
    <xdr:to>
      <xdr:col>9</xdr:col>
      <xdr:colOff>601980</xdr:colOff>
      <xdr:row>32</xdr:row>
      <xdr:rowOff>137160</xdr:rowOff>
    </xdr:to>
    <xdr:graphicFrame macro="">
      <xdr:nvGraphicFramePr>
        <xdr:cNvPr id="30" name="Chart 29">
          <a:extLst>
            <a:ext uri="{FF2B5EF4-FFF2-40B4-BE49-F238E27FC236}">
              <a16:creationId xmlns:a16="http://schemas.microsoft.com/office/drawing/2014/main" id="{5857A83E-6825-4204-8491-5F1EA7C20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586740</xdr:colOff>
      <xdr:row>21</xdr:row>
      <xdr:rowOff>83820</xdr:rowOff>
    </xdr:from>
    <xdr:to>
      <xdr:col>13</xdr:col>
      <xdr:colOff>487680</xdr:colOff>
      <xdr:row>32</xdr:row>
      <xdr:rowOff>137160</xdr:rowOff>
    </xdr:to>
    <xdr:graphicFrame macro="">
      <xdr:nvGraphicFramePr>
        <xdr:cNvPr id="31" name="Chart 30">
          <a:extLst>
            <a:ext uri="{FF2B5EF4-FFF2-40B4-BE49-F238E27FC236}">
              <a16:creationId xmlns:a16="http://schemas.microsoft.com/office/drawing/2014/main" id="{C1B17064-73FC-4284-9FBF-2D80209AA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60960</xdr:colOff>
      <xdr:row>21</xdr:row>
      <xdr:rowOff>129540</xdr:rowOff>
    </xdr:from>
    <xdr:to>
      <xdr:col>13</xdr:col>
      <xdr:colOff>312420</xdr:colOff>
      <xdr:row>23</xdr:row>
      <xdr:rowOff>121920</xdr:rowOff>
    </xdr:to>
    <xdr:sp macro="" textlink="">
      <xdr:nvSpPr>
        <xdr:cNvPr id="32" name="TextBox 31">
          <a:extLst>
            <a:ext uri="{FF2B5EF4-FFF2-40B4-BE49-F238E27FC236}">
              <a16:creationId xmlns:a16="http://schemas.microsoft.com/office/drawing/2014/main" id="{611CE114-7C2A-A5B8-21C8-5FC10FC96202}"/>
            </a:ext>
          </a:extLst>
        </xdr:cNvPr>
        <xdr:cNvSpPr txBox="1"/>
      </xdr:nvSpPr>
      <xdr:spPr>
        <a:xfrm>
          <a:off x="6156960" y="3977640"/>
          <a:ext cx="2080260" cy="358140"/>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ysClr val="windowText" lastClr="000000"/>
              </a:solidFill>
            </a:rPr>
            <a:t>Top Sales Representative</a:t>
          </a:r>
        </a:p>
      </xdr:txBody>
    </xdr:sp>
    <xdr:clientData/>
  </xdr:twoCellAnchor>
  <xdr:twoCellAnchor editAs="oneCell">
    <xdr:from>
      <xdr:col>16</xdr:col>
      <xdr:colOff>160020</xdr:colOff>
      <xdr:row>5</xdr:row>
      <xdr:rowOff>7620</xdr:rowOff>
    </xdr:from>
    <xdr:to>
      <xdr:col>18</xdr:col>
      <xdr:colOff>388620</xdr:colOff>
      <xdr:row>15</xdr:row>
      <xdr:rowOff>76200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A8ED1FF8-882B-482F-AA57-94DD5AA2C5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13620" y="929640"/>
              <a:ext cx="14478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411480</xdr:colOff>
      <xdr:row>5</xdr:row>
      <xdr:rowOff>0</xdr:rowOff>
    </xdr:from>
    <xdr:to>
      <xdr:col>20</xdr:col>
      <xdr:colOff>495300</xdr:colOff>
      <xdr:row>14</xdr:row>
      <xdr:rowOff>68580</xdr:rowOff>
    </xdr:to>
    <mc:AlternateContent xmlns:mc="http://schemas.openxmlformats.org/markup-compatibility/2006" xmlns:a14="http://schemas.microsoft.com/office/drawing/2010/main">
      <mc:Choice Requires="a14">
        <xdr:graphicFrame macro="">
          <xdr:nvGraphicFramePr>
            <xdr:cNvPr id="34" name="Product_Category">
              <a:extLst>
                <a:ext uri="{FF2B5EF4-FFF2-40B4-BE49-F238E27FC236}">
                  <a16:creationId xmlns:a16="http://schemas.microsoft.com/office/drawing/2014/main" id="{527126B9-16FB-47DD-A50C-7706002532E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384280" y="922020"/>
              <a:ext cx="130302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5</xdr:row>
      <xdr:rowOff>7621</xdr:rowOff>
    </xdr:from>
    <xdr:to>
      <xdr:col>16</xdr:col>
      <xdr:colOff>152400</xdr:colOff>
      <xdr:row>17</xdr:row>
      <xdr:rowOff>83821</xdr:rowOff>
    </xdr:to>
    <mc:AlternateContent xmlns:mc="http://schemas.openxmlformats.org/markup-compatibility/2006" xmlns:a14="http://schemas.microsoft.com/office/drawing/2010/main">
      <mc:Choice Requires="a14">
        <xdr:graphicFrame macro="">
          <xdr:nvGraphicFramePr>
            <xdr:cNvPr id="35" name="Sales_Rep">
              <a:extLst>
                <a:ext uri="{FF2B5EF4-FFF2-40B4-BE49-F238E27FC236}">
                  <a16:creationId xmlns:a16="http://schemas.microsoft.com/office/drawing/2014/main" id="{94DC20C7-D886-44DE-9734-3499773FFD03}"/>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8557260" y="929641"/>
              <a:ext cx="134874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510540</xdr:colOff>
      <xdr:row>5</xdr:row>
      <xdr:rowOff>15241</xdr:rowOff>
    </xdr:from>
    <xdr:to>
      <xdr:col>22</xdr:col>
      <xdr:colOff>502920</xdr:colOff>
      <xdr:row>12</xdr:row>
      <xdr:rowOff>160020</xdr:rowOff>
    </xdr:to>
    <mc:AlternateContent xmlns:mc="http://schemas.openxmlformats.org/markup-compatibility/2006" xmlns:a14="http://schemas.microsoft.com/office/drawing/2010/main">
      <mc:Choice Requires="a14">
        <xdr:graphicFrame macro="">
          <xdr:nvGraphicFramePr>
            <xdr:cNvPr id="36" name="Customer_Type">
              <a:extLst>
                <a:ext uri="{FF2B5EF4-FFF2-40B4-BE49-F238E27FC236}">
                  <a16:creationId xmlns:a16="http://schemas.microsoft.com/office/drawing/2014/main" id="{59E07934-D8D6-40A1-8430-A6425F25464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2702540" y="937261"/>
              <a:ext cx="121158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472440</xdr:colOff>
      <xdr:row>1</xdr:row>
      <xdr:rowOff>129540</xdr:rowOff>
    </xdr:from>
    <xdr:to>
      <xdr:col>13</xdr:col>
      <xdr:colOff>76200</xdr:colOff>
      <xdr:row>4</xdr:row>
      <xdr:rowOff>45720</xdr:rowOff>
    </xdr:to>
    <xdr:sp macro="" textlink="">
      <xdr:nvSpPr>
        <xdr:cNvPr id="37" name="TextBox 36">
          <a:extLst>
            <a:ext uri="{FF2B5EF4-FFF2-40B4-BE49-F238E27FC236}">
              <a16:creationId xmlns:a16="http://schemas.microsoft.com/office/drawing/2014/main" id="{4DA17E9E-B66C-7A39-7355-39DC0231B6FD}"/>
            </a:ext>
          </a:extLst>
        </xdr:cNvPr>
        <xdr:cNvSpPr txBox="1"/>
      </xdr:nvSpPr>
      <xdr:spPr>
        <a:xfrm>
          <a:off x="1082040" y="320040"/>
          <a:ext cx="69189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sng">
              <a:latin typeface="Arial Rounded MT Bold" panose="020F0704030504030204" pitchFamily="34" charset="0"/>
            </a:rPr>
            <a:t>SALES PERFORMANCE</a:t>
          </a:r>
          <a:r>
            <a:rPr lang="en-IN" sz="2000" b="1" u="sng" baseline="0">
              <a:latin typeface="Arial Rounded MT Bold" panose="020F0704030504030204" pitchFamily="34" charset="0"/>
            </a:rPr>
            <a:t> DASHBOARD</a:t>
          </a:r>
          <a:endParaRPr lang="en-IN" sz="2000" b="1" u="sng">
            <a:latin typeface="Arial Rounded MT Bold" panose="020F070403050403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0.20384</cdr:x>
      <cdr:y>0</cdr:y>
    </cdr:from>
    <cdr:to>
      <cdr:x>0.8705</cdr:x>
      <cdr:y>0.16117</cdr:y>
    </cdr:to>
    <cdr:sp macro="" textlink="">
      <cdr:nvSpPr>
        <cdr:cNvPr id="3" name="TextBox 2">
          <a:extLst xmlns:a="http://schemas.openxmlformats.org/drawingml/2006/main">
            <a:ext uri="{FF2B5EF4-FFF2-40B4-BE49-F238E27FC236}">
              <a16:creationId xmlns:a16="http://schemas.microsoft.com/office/drawing/2014/main" id="{F13B0810-B01C-53F2-41F0-66C079CB1505}"/>
            </a:ext>
          </a:extLst>
        </cdr:cNvPr>
        <cdr:cNvSpPr txBox="1"/>
      </cdr:nvSpPr>
      <cdr:spPr>
        <a:xfrm xmlns:a="http://schemas.openxmlformats.org/drawingml/2006/main">
          <a:off x="647700" y="0"/>
          <a:ext cx="21183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600" b="1" u="sng" kern="1200">
              <a:solidFill>
                <a:sysClr val="windowText" lastClr="000000"/>
              </a:solidFill>
            </a:rPr>
            <a:t>Profit By Region</a:t>
          </a:r>
        </a:p>
      </cdr:txBody>
    </cdr:sp>
  </cdr:relSizeAnchor>
</c:userShapes>
</file>

<file path=xl/drawings/drawing4.xml><?xml version="1.0" encoding="utf-8"?>
<c:userShapes xmlns:c="http://schemas.openxmlformats.org/drawingml/2006/chart">
  <cdr:relSizeAnchor xmlns:cdr="http://schemas.openxmlformats.org/drawingml/2006/chartDrawing">
    <cdr:from>
      <cdr:x>0.1759</cdr:x>
      <cdr:y>0.10256</cdr:y>
    </cdr:from>
    <cdr:to>
      <cdr:x>0.78502</cdr:x>
      <cdr:y>0.12454</cdr:y>
    </cdr:to>
    <cdr:sp macro="" textlink="">
      <cdr:nvSpPr>
        <cdr:cNvPr id="3" name="TextBox 2">
          <a:extLst xmlns:a="http://schemas.openxmlformats.org/drawingml/2006/main">
            <a:ext uri="{FF2B5EF4-FFF2-40B4-BE49-F238E27FC236}">
              <a16:creationId xmlns:a16="http://schemas.microsoft.com/office/drawing/2014/main" id="{5D83DAD9-E5C6-3125-B379-280F5B1460A4}"/>
            </a:ext>
          </a:extLst>
        </cdr:cNvPr>
        <cdr:cNvSpPr txBox="1"/>
      </cdr:nvSpPr>
      <cdr:spPr>
        <a:xfrm xmlns:a="http://schemas.openxmlformats.org/drawingml/2006/main">
          <a:off x="411480" y="213360"/>
          <a:ext cx="1424940" cy="45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0.04235</cdr:x>
      <cdr:y>0.03663</cdr:y>
    </cdr:from>
    <cdr:to>
      <cdr:x>0.96743</cdr:x>
      <cdr:y>0.22711</cdr:y>
    </cdr:to>
    <cdr:sp macro="" textlink="">
      <cdr:nvSpPr>
        <cdr:cNvPr id="4" name="TextBox 3">
          <a:extLst xmlns:a="http://schemas.openxmlformats.org/drawingml/2006/main">
            <a:ext uri="{FF2B5EF4-FFF2-40B4-BE49-F238E27FC236}">
              <a16:creationId xmlns:a16="http://schemas.microsoft.com/office/drawing/2014/main" id="{6DB54FA9-8D28-5D67-6A81-676341225FFB}"/>
            </a:ext>
          </a:extLst>
        </cdr:cNvPr>
        <cdr:cNvSpPr txBox="1"/>
      </cdr:nvSpPr>
      <cdr:spPr>
        <a:xfrm xmlns:a="http://schemas.openxmlformats.org/drawingml/2006/main">
          <a:off x="99060" y="76200"/>
          <a:ext cx="2164080" cy="396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400" b="1" u="sng" kern="1200"/>
            <a:t>Profit By Product Catagory</a:t>
          </a:r>
        </a:p>
      </cdr:txBody>
    </cdr:sp>
  </cdr:relSizeAnchor>
</c:userShapes>
</file>

<file path=xl/drawings/drawing5.xml><?xml version="1.0" encoding="utf-8"?>
<c:userShapes xmlns:c="http://schemas.openxmlformats.org/drawingml/2006/chart">
  <cdr:relSizeAnchor xmlns:cdr="http://schemas.openxmlformats.org/drawingml/2006/chartDrawing">
    <cdr:from>
      <cdr:x>0.15961</cdr:x>
      <cdr:y>0.0738</cdr:y>
    </cdr:from>
    <cdr:to>
      <cdr:x>0.88274</cdr:x>
      <cdr:y>0.12177</cdr:y>
    </cdr:to>
    <cdr:sp macro="" textlink="">
      <cdr:nvSpPr>
        <cdr:cNvPr id="2" name="TextBox 1">
          <a:extLst xmlns:a="http://schemas.openxmlformats.org/drawingml/2006/main">
            <a:ext uri="{FF2B5EF4-FFF2-40B4-BE49-F238E27FC236}">
              <a16:creationId xmlns:a16="http://schemas.microsoft.com/office/drawing/2014/main" id="{708A85CA-1FF4-9322-383C-50A083E4D8B3}"/>
            </a:ext>
          </a:extLst>
        </cdr:cNvPr>
        <cdr:cNvSpPr txBox="1"/>
      </cdr:nvSpPr>
      <cdr:spPr>
        <a:xfrm xmlns:a="http://schemas.openxmlformats.org/drawingml/2006/main">
          <a:off x="373380" y="152400"/>
          <a:ext cx="1691640" cy="99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9.820214004627" createdVersion="8" refreshedVersion="8" minRefreshableVersion="3" recordCount="201" xr:uid="{7DAA9329-9FA5-43CE-B994-E925420BECA0}">
  <cacheSource type="worksheet">
    <worksheetSource ref="A1:N1048576" sheet="Sheet2"/>
  </cacheSource>
  <cacheFields count="16">
    <cacheField name="Order_ID" numFmtId="0">
      <sharedItems containsString="0" containsBlank="1" containsNumber="1" containsInteger="1" minValue="1001" maxValue="1200"/>
    </cacheField>
    <cacheField name="Order_Date" numFmtId="0">
      <sharedItems containsNonDate="0" containsDate="1" containsString="0" containsBlank="1" minDate="2024-01-01T00:00:00" maxDate="2024-06-30T00:00:00" count="123">
        <d v="2024-02-27T00:00:00"/>
        <d v="2024-02-29T00:00:00"/>
        <d v="2024-01-02T00:00:00"/>
        <d v="2024-01-25T00:00:00"/>
        <d v="2024-04-06T00:00:00"/>
        <d v="2024-03-15T00:00:00"/>
        <d v="2024-06-20T00:00:00"/>
        <d v="2024-04-28T00:00:00"/>
        <d v="2024-03-21T00:00:00"/>
        <d v="2024-04-27T00:00:00"/>
        <d v="2024-02-05T00:00:00"/>
        <d v="2024-04-07T00:00:00"/>
        <d v="2024-06-13T00:00:00"/>
        <d v="2024-05-09T00:00:00"/>
        <d v="2024-05-15T00:00:00"/>
        <d v="2024-05-25T00:00:00"/>
        <d v="2024-05-20T00:00:00"/>
        <d v="2024-06-15T00:00:00"/>
        <d v="2024-05-21T00:00:00"/>
        <d v="2024-03-25T00:00:00"/>
        <d v="2024-05-01T00:00:00"/>
        <d v="2024-01-14T00:00:00"/>
        <d v="2024-05-18T00:00:00"/>
        <d v="2024-01-16T00:00:00"/>
        <d v="2024-05-22T00:00:00"/>
        <d v="2024-05-02T00:00:00"/>
        <d v="2024-05-24T00:00:00"/>
        <d v="2024-03-13T00:00:00"/>
        <d v="2024-01-27T00:00:00"/>
        <d v="2024-02-22T00:00:00"/>
        <d v="2024-02-03T00:00:00"/>
        <d v="2024-06-25T00:00:00"/>
        <d v="2024-01-11T00:00:00"/>
        <d v="2024-03-01T00:00:00"/>
        <d v="2024-03-04T00:00:00"/>
        <d v="2024-01-18T00:00:00"/>
        <d v="2024-03-07T00:00:00"/>
        <d v="2024-04-21T00:00:00"/>
        <d v="2024-05-17T00:00:00"/>
        <d v="2024-06-19T00:00:00"/>
        <d v="2024-05-28T00:00:00"/>
        <d v="2024-05-11T00:00:00"/>
        <d v="2024-06-16T00:00:00"/>
        <d v="2024-02-01T00:00:00"/>
        <d v="2024-03-14T00:00:00"/>
        <d v="2024-06-29T00:00:00"/>
        <d v="2024-04-17T00:00:00"/>
        <d v="2024-04-13T00:00:00"/>
        <d v="2024-01-30T00:00:00"/>
        <d v="2024-01-07T00:00:00"/>
        <d v="2024-06-09T00:00:00"/>
        <d v="2024-04-04T00:00:00"/>
        <d v="2024-06-11T00:00:00"/>
        <d v="2024-05-03T00:00:00"/>
        <d v="2024-03-03T00:00:00"/>
        <d v="2024-05-04T00:00:00"/>
        <d v="2024-02-18T00:00:00"/>
        <d v="2024-04-24T00:00:00"/>
        <d v="2024-01-31T00:00:00"/>
        <d v="2024-05-14T00:00:00"/>
        <d v="2024-02-02T00:00:00"/>
        <d v="2024-05-26T00:00:00"/>
        <d v="2024-01-17T00:00:00"/>
        <d v="2024-05-30T00:00:00"/>
        <d v="2024-06-18T00:00:00"/>
        <d v="2024-04-30T00:00:00"/>
        <d v="2024-03-08T00:00:00"/>
        <d v="2024-03-05T00:00:00"/>
        <d v="2024-02-14T00:00:00"/>
        <d v="2024-04-14T00:00:00"/>
        <d v="2024-04-12T00:00:00"/>
        <d v="2024-01-01T00:00:00"/>
        <d v="2024-03-09T00:00:00"/>
        <d v="2024-02-10T00:00:00"/>
        <d v="2024-06-14T00:00:00"/>
        <d v="2024-02-07T00:00:00"/>
        <d v="2024-03-29T00:00:00"/>
        <d v="2024-04-15T00:00:00"/>
        <d v="2024-05-31T00:00:00"/>
        <d v="2024-02-09T00:00:00"/>
        <d v="2024-05-16T00:00:00"/>
        <d v="2024-06-24T00:00:00"/>
        <d v="2024-01-08T00:00:00"/>
        <d v="2024-01-28T00:00:00"/>
        <d v="2024-03-11T00:00:00"/>
        <d v="2024-06-04T00:00:00"/>
        <d v="2024-04-16T00:00:00"/>
        <d v="2024-06-21T00:00:00"/>
        <d v="2024-05-23T00:00:00"/>
        <d v="2024-03-12T00:00:00"/>
        <d v="2024-06-12T00:00:00"/>
        <d v="2024-02-23T00:00:00"/>
        <d v="2024-01-26T00:00:00"/>
        <d v="2024-04-26T00:00:00"/>
        <d v="2024-03-31T00:00:00"/>
        <d v="2024-02-26T00:00:00"/>
        <d v="2024-03-24T00:00:00"/>
        <d v="2024-05-08T00:00:00"/>
        <d v="2024-05-27T00:00:00"/>
        <d v="2024-02-13T00:00:00"/>
        <d v="2024-01-21T00:00:00"/>
        <d v="2024-06-03T00:00:00"/>
        <d v="2024-06-08T00:00:00"/>
        <d v="2024-03-28T00:00:00"/>
        <d v="2024-03-30T00:00:00"/>
        <d v="2024-03-20T00:00:00"/>
        <d v="2024-06-26T00:00:00"/>
        <d v="2024-04-05T00:00:00"/>
        <d v="2024-01-10T00:00:00"/>
        <d v="2024-02-08T00:00:00"/>
        <d v="2024-06-06T00:00:00"/>
        <d v="2024-03-27T00:00:00"/>
        <d v="2024-05-19T00:00:00"/>
        <d v="2024-03-10T00:00:00"/>
        <d v="2024-04-03T00:00:00"/>
        <d v="2024-01-20T00:00:00"/>
        <d v="2024-02-17T00:00:00"/>
        <d v="2024-03-22T00:00:00"/>
        <d v="2024-04-10T00:00:00"/>
        <d v="2024-03-26T00:00:00"/>
        <d v="2024-03-17T00:00:00"/>
        <d v="2024-01-09T00:00:00"/>
        <m/>
      </sharedItems>
      <fieldGroup par="15"/>
    </cacheField>
    <cacheField name="Region" numFmtId="0">
      <sharedItems containsBlank="1" count="5">
        <s v="West"/>
        <s v="East"/>
        <s v="North"/>
        <s v="South"/>
        <m/>
      </sharedItems>
    </cacheField>
    <cacheField name="State" numFmtId="0">
      <sharedItems containsBlank="1" count="7">
        <s v="Gujarat"/>
        <s v="Tamil Nadu"/>
        <s v="Delhi"/>
        <s v="Maharashtra"/>
        <s v="West Bengal"/>
        <s v="Karnataka"/>
        <m/>
      </sharedItems>
    </cacheField>
    <cacheField name="City" numFmtId="0">
      <sharedItems containsBlank="1"/>
    </cacheField>
    <cacheField name="Product_Category" numFmtId="0">
      <sharedItems containsBlank="1" count="4">
        <s v="Clothing"/>
        <s v="Electronics"/>
        <s v="Furniture"/>
        <m/>
      </sharedItems>
    </cacheField>
    <cacheField name="Product_Name" numFmtId="0">
      <sharedItems containsBlank="1"/>
    </cacheField>
    <cacheField name="Sales_Rep" numFmtId="0">
      <sharedItems containsBlank="1" count="7">
        <s v="Sneha"/>
        <s v="Aman"/>
        <s v="Neha"/>
        <s v="Priya"/>
        <s v="Rahul"/>
        <s v="Arjun"/>
        <m/>
      </sharedItems>
    </cacheField>
    <cacheField name="Quantity" numFmtId="0">
      <sharedItems containsString="0" containsBlank="1" containsNumber="1" containsInteger="1" minValue="1" maxValue="10"/>
    </cacheField>
    <cacheField name="Unit_Price" numFmtId="0">
      <sharedItems containsString="0" containsBlank="1" containsNumber="1" containsInteger="1" minValue="1110" maxValue="59705"/>
    </cacheField>
    <cacheField name="Revenue" numFmtId="0">
      <sharedItems containsString="0" containsBlank="1" containsNumber="1" containsInteger="1" minValue="2220" maxValue="534660"/>
    </cacheField>
    <cacheField name="Cost" numFmtId="0">
      <sharedItems containsString="0" containsBlank="1" containsNumber="1" minValue="1528.64" maxValue="443716.69"/>
    </cacheField>
    <cacheField name="Profit" numFmtId="0">
      <sharedItems containsString="0" containsBlank="1" containsNumber="1" minValue="633.65" maxValue="179895.08"/>
    </cacheField>
    <cacheField name="Customer_Type" numFmtId="0">
      <sharedItems containsBlank="1" count="3">
        <s v="New"/>
        <s v="Returning"/>
        <m/>
      </sharedItems>
    </cacheField>
    <cacheField name="Days (Order_Date)" numFmtId="0" databaseField="0">
      <fieldGroup base="1">
        <rangePr groupBy="days" startDate="2024-01-01T00:00:00" endDate="2024-06-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Order_Date)" numFmtId="0" databaseField="0">
      <fieldGroup base="1">
        <rangePr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242933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1001"/>
    <x v="0"/>
    <x v="0"/>
    <x v="0"/>
    <s v="Kolkata"/>
    <x v="0"/>
    <s v="Jacket"/>
    <x v="0"/>
    <n v="1"/>
    <n v="49098"/>
    <n v="49098"/>
    <n v="32834.65"/>
    <n v="16263.35"/>
    <x v="0"/>
  </r>
  <r>
    <n v="1002"/>
    <x v="1"/>
    <x v="1"/>
    <x v="1"/>
    <s v="Mumbai"/>
    <x v="0"/>
    <s v="Sweater"/>
    <x v="0"/>
    <n v="1"/>
    <n v="2452"/>
    <n v="2452"/>
    <n v="1528.64"/>
    <n v="923.36"/>
    <x v="1"/>
  </r>
  <r>
    <n v="1003"/>
    <x v="2"/>
    <x v="0"/>
    <x v="0"/>
    <s v="Bangalore"/>
    <x v="1"/>
    <s v="Headphones"/>
    <x v="1"/>
    <n v="10"/>
    <n v="18731"/>
    <n v="187310"/>
    <n v="150289.60000000001"/>
    <n v="37020.400000000001"/>
    <x v="1"/>
  </r>
  <r>
    <n v="1004"/>
    <x v="3"/>
    <x v="2"/>
    <x v="2"/>
    <s v="Chennai"/>
    <x v="1"/>
    <s v="Smartphone"/>
    <x v="1"/>
    <n v="6"/>
    <n v="7198"/>
    <n v="43188"/>
    <n v="26914.18"/>
    <n v="16273.82"/>
    <x v="0"/>
  </r>
  <r>
    <n v="1005"/>
    <x v="4"/>
    <x v="1"/>
    <x v="1"/>
    <s v="Delhi"/>
    <x v="0"/>
    <s v="Sweater"/>
    <x v="0"/>
    <n v="9"/>
    <n v="8680"/>
    <n v="78120"/>
    <n v="65876.95"/>
    <n v="12243.05"/>
    <x v="1"/>
  </r>
  <r>
    <n v="1006"/>
    <x v="5"/>
    <x v="1"/>
    <x v="3"/>
    <s v="Kolkata"/>
    <x v="0"/>
    <s v="T-Shirt"/>
    <x v="2"/>
    <n v="2"/>
    <n v="3503"/>
    <n v="7006"/>
    <n v="5361.8"/>
    <n v="1644.2"/>
    <x v="1"/>
  </r>
  <r>
    <n v="1007"/>
    <x v="6"/>
    <x v="2"/>
    <x v="0"/>
    <s v="Ahmedabad"/>
    <x v="2"/>
    <s v="Sofa"/>
    <x v="0"/>
    <n v="3"/>
    <n v="24760"/>
    <n v="74280"/>
    <n v="51165.38"/>
    <n v="23114.62"/>
    <x v="0"/>
  </r>
  <r>
    <n v="1008"/>
    <x v="7"/>
    <x v="3"/>
    <x v="2"/>
    <s v="Ahmedabad"/>
    <x v="0"/>
    <s v="T-Shirt"/>
    <x v="0"/>
    <n v="9"/>
    <n v="48284"/>
    <n v="434556"/>
    <n v="287329.61"/>
    <n v="147226.39000000001"/>
    <x v="0"/>
  </r>
  <r>
    <n v="1009"/>
    <x v="8"/>
    <x v="3"/>
    <x v="2"/>
    <s v="Kolkata"/>
    <x v="0"/>
    <s v="Jeans"/>
    <x v="3"/>
    <n v="1"/>
    <n v="15510"/>
    <n v="15510"/>
    <n v="12492.54"/>
    <n v="3017.46"/>
    <x v="1"/>
  </r>
  <r>
    <n v="1010"/>
    <x v="9"/>
    <x v="0"/>
    <x v="2"/>
    <s v="Mumbai"/>
    <x v="1"/>
    <s v="Headphones"/>
    <x v="3"/>
    <n v="7"/>
    <n v="58478"/>
    <n v="409346"/>
    <n v="339199.2"/>
    <n v="70146.8"/>
    <x v="1"/>
  </r>
  <r>
    <n v="1011"/>
    <x v="10"/>
    <x v="3"/>
    <x v="4"/>
    <s v="Kolkata"/>
    <x v="0"/>
    <s v="Sweater"/>
    <x v="4"/>
    <n v="10"/>
    <n v="26675"/>
    <n v="266750"/>
    <n v="184190.64"/>
    <n v="82559.360000000001"/>
    <x v="0"/>
  </r>
  <r>
    <n v="1012"/>
    <x v="11"/>
    <x v="3"/>
    <x v="1"/>
    <s v="Delhi"/>
    <x v="0"/>
    <s v="T-Shirt"/>
    <x v="5"/>
    <n v="7"/>
    <n v="39586"/>
    <n v="277102"/>
    <n v="170662.11"/>
    <n v="106439.89"/>
    <x v="0"/>
  </r>
  <r>
    <n v="1013"/>
    <x v="12"/>
    <x v="2"/>
    <x v="4"/>
    <s v="Delhi"/>
    <x v="0"/>
    <s v="Jacket"/>
    <x v="2"/>
    <n v="9"/>
    <n v="49709"/>
    <n v="447381"/>
    <n v="298271.73"/>
    <n v="149109.26999999999"/>
    <x v="0"/>
  </r>
  <r>
    <n v="1014"/>
    <x v="13"/>
    <x v="1"/>
    <x v="0"/>
    <s v="Delhi"/>
    <x v="2"/>
    <s v="Chair"/>
    <x v="0"/>
    <n v="5"/>
    <n v="33306"/>
    <n v="166530"/>
    <n v="131640.39000000001"/>
    <n v="34889.61"/>
    <x v="0"/>
  </r>
  <r>
    <n v="1015"/>
    <x v="14"/>
    <x v="1"/>
    <x v="1"/>
    <s v="Delhi"/>
    <x v="1"/>
    <s v="Tablet"/>
    <x v="2"/>
    <n v="3"/>
    <n v="35848"/>
    <n v="107544"/>
    <n v="90162.19"/>
    <n v="17381.810000000001"/>
    <x v="0"/>
  </r>
  <r>
    <n v="1016"/>
    <x v="15"/>
    <x v="1"/>
    <x v="4"/>
    <s v="Ahmedabad"/>
    <x v="1"/>
    <s v="Tablet"/>
    <x v="2"/>
    <n v="5"/>
    <n v="16192"/>
    <n v="80960"/>
    <n v="49748.41"/>
    <n v="31211.59"/>
    <x v="0"/>
  </r>
  <r>
    <n v="1017"/>
    <x v="16"/>
    <x v="0"/>
    <x v="2"/>
    <s v="Chennai"/>
    <x v="0"/>
    <s v="T-Shirt"/>
    <x v="5"/>
    <n v="3"/>
    <n v="43737"/>
    <n v="131211"/>
    <n v="94317.17"/>
    <n v="36893.83"/>
    <x v="1"/>
  </r>
  <r>
    <n v="1018"/>
    <x v="17"/>
    <x v="2"/>
    <x v="5"/>
    <s v="Chennai"/>
    <x v="1"/>
    <s v="Smartphone"/>
    <x v="2"/>
    <n v="5"/>
    <n v="26648"/>
    <n v="133240"/>
    <n v="113092.43"/>
    <n v="20147.57"/>
    <x v="0"/>
  </r>
  <r>
    <n v="1019"/>
    <x v="18"/>
    <x v="0"/>
    <x v="1"/>
    <s v="Mumbai"/>
    <x v="1"/>
    <s v="Smartphone"/>
    <x v="4"/>
    <n v="2"/>
    <n v="22656"/>
    <n v="45312"/>
    <n v="27425.48"/>
    <n v="17886.52"/>
    <x v="0"/>
  </r>
  <r>
    <n v="1020"/>
    <x v="19"/>
    <x v="1"/>
    <x v="1"/>
    <s v="Mumbai"/>
    <x v="0"/>
    <s v="Jacket"/>
    <x v="1"/>
    <n v="4"/>
    <n v="4917"/>
    <n v="19668"/>
    <n v="16252.75"/>
    <n v="3415.25"/>
    <x v="1"/>
  </r>
  <r>
    <n v="1021"/>
    <x v="20"/>
    <x v="3"/>
    <x v="3"/>
    <s v="Kolkata"/>
    <x v="1"/>
    <s v="Smartphone"/>
    <x v="4"/>
    <n v="10"/>
    <n v="38262"/>
    <n v="382620"/>
    <n v="274785.34999999998"/>
    <n v="107834.65"/>
    <x v="1"/>
  </r>
  <r>
    <n v="1022"/>
    <x v="21"/>
    <x v="1"/>
    <x v="4"/>
    <s v="Bangalore"/>
    <x v="2"/>
    <s v="Desk"/>
    <x v="0"/>
    <n v="7"/>
    <n v="31106"/>
    <n v="217742"/>
    <n v="177668.59"/>
    <n v="40073.410000000003"/>
    <x v="1"/>
  </r>
  <r>
    <n v="1023"/>
    <x v="10"/>
    <x v="3"/>
    <x v="3"/>
    <s v="Delhi"/>
    <x v="1"/>
    <s v="Smartphone"/>
    <x v="2"/>
    <n v="4"/>
    <n v="12965"/>
    <n v="51860"/>
    <n v="38068.94"/>
    <n v="13791.06"/>
    <x v="0"/>
  </r>
  <r>
    <n v="1024"/>
    <x v="22"/>
    <x v="1"/>
    <x v="4"/>
    <s v="Mumbai"/>
    <x v="1"/>
    <s v="Headphones"/>
    <x v="3"/>
    <n v="9"/>
    <n v="6916"/>
    <n v="62244"/>
    <n v="38133.599999999999"/>
    <n v="24110.400000000001"/>
    <x v="1"/>
  </r>
  <r>
    <n v="1025"/>
    <x v="23"/>
    <x v="0"/>
    <x v="5"/>
    <s v="Kolkata"/>
    <x v="2"/>
    <s v="Desk"/>
    <x v="2"/>
    <n v="4"/>
    <n v="57165"/>
    <n v="228660"/>
    <n v="160121.47"/>
    <n v="68538.53"/>
    <x v="1"/>
  </r>
  <r>
    <n v="1026"/>
    <x v="24"/>
    <x v="3"/>
    <x v="3"/>
    <s v="Mumbai"/>
    <x v="2"/>
    <s v="Sofa"/>
    <x v="1"/>
    <n v="7"/>
    <n v="46151"/>
    <n v="323057"/>
    <n v="271151.24"/>
    <n v="51905.760000000002"/>
    <x v="0"/>
  </r>
  <r>
    <n v="1027"/>
    <x v="25"/>
    <x v="0"/>
    <x v="4"/>
    <s v="Chennai"/>
    <x v="1"/>
    <s v="Laptop"/>
    <x v="4"/>
    <n v="6"/>
    <n v="4246"/>
    <n v="25476"/>
    <n v="15604.96"/>
    <n v="9871.0400000000009"/>
    <x v="0"/>
  </r>
  <r>
    <n v="1028"/>
    <x v="15"/>
    <x v="0"/>
    <x v="1"/>
    <s v="Chennai"/>
    <x v="1"/>
    <s v="Laptop"/>
    <x v="4"/>
    <n v="4"/>
    <n v="26961"/>
    <n v="107844"/>
    <n v="67938.66"/>
    <n v="39905.339999999997"/>
    <x v="0"/>
  </r>
  <r>
    <n v="1029"/>
    <x v="8"/>
    <x v="0"/>
    <x v="2"/>
    <s v="Bangalore"/>
    <x v="2"/>
    <s v="Sofa"/>
    <x v="3"/>
    <n v="5"/>
    <n v="13886"/>
    <n v="69430"/>
    <n v="53282.77"/>
    <n v="16147.23"/>
    <x v="1"/>
  </r>
  <r>
    <n v="1030"/>
    <x v="26"/>
    <x v="1"/>
    <x v="4"/>
    <s v="Chennai"/>
    <x v="2"/>
    <s v="Sofa"/>
    <x v="3"/>
    <n v="2"/>
    <n v="1110"/>
    <n v="2220"/>
    <n v="1586.35"/>
    <n v="633.65"/>
    <x v="1"/>
  </r>
  <r>
    <n v="1031"/>
    <x v="27"/>
    <x v="0"/>
    <x v="5"/>
    <s v="Chennai"/>
    <x v="1"/>
    <s v="Tablet"/>
    <x v="0"/>
    <n v="2"/>
    <n v="58123"/>
    <n v="116246"/>
    <n v="76846.87"/>
    <n v="39399.129999999997"/>
    <x v="1"/>
  </r>
  <r>
    <n v="1032"/>
    <x v="28"/>
    <x v="0"/>
    <x v="2"/>
    <s v="Kolkata"/>
    <x v="0"/>
    <s v="Jacket"/>
    <x v="4"/>
    <n v="9"/>
    <n v="20120"/>
    <n v="181080"/>
    <n v="150828.6"/>
    <n v="30251.4"/>
    <x v="0"/>
  </r>
  <r>
    <n v="1033"/>
    <x v="29"/>
    <x v="2"/>
    <x v="1"/>
    <s v="Bangalore"/>
    <x v="2"/>
    <s v="Sofa"/>
    <x v="1"/>
    <n v="10"/>
    <n v="14303"/>
    <n v="143030"/>
    <n v="111478.02"/>
    <n v="31551.98"/>
    <x v="0"/>
  </r>
  <r>
    <n v="1034"/>
    <x v="30"/>
    <x v="2"/>
    <x v="3"/>
    <s v="Ahmedabad"/>
    <x v="1"/>
    <s v="Headphones"/>
    <x v="2"/>
    <n v="5"/>
    <n v="3389"/>
    <n v="16945"/>
    <n v="10182.02"/>
    <n v="6762.98"/>
    <x v="1"/>
  </r>
  <r>
    <n v="1035"/>
    <x v="31"/>
    <x v="0"/>
    <x v="1"/>
    <s v="Kolkata"/>
    <x v="0"/>
    <s v="Jacket"/>
    <x v="1"/>
    <n v="2"/>
    <n v="5431"/>
    <n v="10862"/>
    <n v="9083.49"/>
    <n v="1778.51"/>
    <x v="0"/>
  </r>
  <r>
    <n v="1036"/>
    <x v="32"/>
    <x v="2"/>
    <x v="3"/>
    <s v="Ahmedabad"/>
    <x v="2"/>
    <s v="Table"/>
    <x v="3"/>
    <n v="1"/>
    <n v="20702"/>
    <n v="20702"/>
    <n v="14308.45"/>
    <n v="6393.55"/>
    <x v="0"/>
  </r>
  <r>
    <n v="1037"/>
    <x v="33"/>
    <x v="0"/>
    <x v="3"/>
    <s v="Bangalore"/>
    <x v="2"/>
    <s v="Desk"/>
    <x v="4"/>
    <n v="10"/>
    <n v="49617"/>
    <n v="496170"/>
    <n v="316873.18"/>
    <n v="179296.82"/>
    <x v="0"/>
  </r>
  <r>
    <n v="1038"/>
    <x v="34"/>
    <x v="2"/>
    <x v="3"/>
    <s v="Ahmedabad"/>
    <x v="0"/>
    <s v="Jeans"/>
    <x v="4"/>
    <n v="7"/>
    <n v="53075"/>
    <n v="371525"/>
    <n v="285136.81"/>
    <n v="86388.19"/>
    <x v="1"/>
  </r>
  <r>
    <n v="1039"/>
    <x v="9"/>
    <x v="2"/>
    <x v="2"/>
    <s v="Mumbai"/>
    <x v="1"/>
    <s v="Headphones"/>
    <x v="3"/>
    <n v="4"/>
    <n v="13579"/>
    <n v="54316"/>
    <n v="43678.03"/>
    <n v="10637.97"/>
    <x v="0"/>
  </r>
  <r>
    <n v="1040"/>
    <x v="35"/>
    <x v="2"/>
    <x v="2"/>
    <s v="Ahmedabad"/>
    <x v="0"/>
    <s v="T-Shirt"/>
    <x v="5"/>
    <n v="7"/>
    <n v="22012"/>
    <n v="154084"/>
    <n v="103182.47"/>
    <n v="50901.53"/>
    <x v="1"/>
  </r>
  <r>
    <n v="1041"/>
    <x v="36"/>
    <x v="0"/>
    <x v="1"/>
    <s v="Delhi"/>
    <x v="0"/>
    <s v="Jeans"/>
    <x v="4"/>
    <n v="1"/>
    <n v="8059"/>
    <n v="8059"/>
    <n v="6602.41"/>
    <n v="1456.59"/>
    <x v="0"/>
  </r>
  <r>
    <n v="1042"/>
    <x v="37"/>
    <x v="1"/>
    <x v="5"/>
    <s v="Chennai"/>
    <x v="0"/>
    <s v="Sweater"/>
    <x v="3"/>
    <n v="6"/>
    <n v="48245"/>
    <n v="289470"/>
    <n v="230593.84"/>
    <n v="58876.160000000003"/>
    <x v="1"/>
  </r>
  <r>
    <n v="1043"/>
    <x v="38"/>
    <x v="0"/>
    <x v="2"/>
    <s v="Bangalore"/>
    <x v="1"/>
    <s v="Headphones"/>
    <x v="4"/>
    <n v="1"/>
    <n v="34573"/>
    <n v="34573"/>
    <n v="28743.78"/>
    <n v="5829.22"/>
    <x v="1"/>
  </r>
  <r>
    <n v="1044"/>
    <x v="13"/>
    <x v="2"/>
    <x v="0"/>
    <s v="Bangalore"/>
    <x v="0"/>
    <s v="Jeans"/>
    <x v="1"/>
    <n v="2"/>
    <n v="47669"/>
    <n v="95338"/>
    <n v="78654.97"/>
    <n v="16683.03"/>
    <x v="1"/>
  </r>
  <r>
    <n v="1045"/>
    <x v="39"/>
    <x v="3"/>
    <x v="0"/>
    <s v="Ahmedabad"/>
    <x v="0"/>
    <s v="Jeans"/>
    <x v="3"/>
    <n v="9"/>
    <n v="8841"/>
    <n v="79569"/>
    <n v="51557.53"/>
    <n v="28011.47"/>
    <x v="1"/>
  </r>
  <r>
    <n v="1046"/>
    <x v="40"/>
    <x v="2"/>
    <x v="5"/>
    <s v="Bangalore"/>
    <x v="2"/>
    <s v="Chair"/>
    <x v="2"/>
    <n v="5"/>
    <n v="19303"/>
    <n v="96515"/>
    <n v="62980.45"/>
    <n v="33534.550000000003"/>
    <x v="0"/>
  </r>
  <r>
    <n v="1047"/>
    <x v="41"/>
    <x v="2"/>
    <x v="4"/>
    <s v="Mumbai"/>
    <x v="0"/>
    <s v="Sweater"/>
    <x v="0"/>
    <n v="3"/>
    <n v="43678"/>
    <n v="131034"/>
    <n v="81398.17"/>
    <n v="49635.83"/>
    <x v="1"/>
  </r>
  <r>
    <n v="1048"/>
    <x v="20"/>
    <x v="1"/>
    <x v="5"/>
    <s v="Bangalore"/>
    <x v="1"/>
    <s v="Smartphone"/>
    <x v="0"/>
    <n v="3"/>
    <n v="2100"/>
    <n v="6300"/>
    <n v="3852.79"/>
    <n v="2447.21"/>
    <x v="0"/>
  </r>
  <r>
    <n v="1049"/>
    <x v="42"/>
    <x v="1"/>
    <x v="4"/>
    <s v="Bangalore"/>
    <x v="0"/>
    <s v="Sweater"/>
    <x v="3"/>
    <n v="8"/>
    <n v="26691"/>
    <n v="213528"/>
    <n v="141141.18"/>
    <n v="72386.820000000007"/>
    <x v="0"/>
  </r>
  <r>
    <n v="1050"/>
    <x v="43"/>
    <x v="3"/>
    <x v="3"/>
    <s v="Bangalore"/>
    <x v="0"/>
    <s v="Sweater"/>
    <x v="0"/>
    <n v="1"/>
    <n v="37030"/>
    <n v="37030"/>
    <n v="24524.95"/>
    <n v="12505.05"/>
    <x v="1"/>
  </r>
  <r>
    <n v="1051"/>
    <x v="20"/>
    <x v="3"/>
    <x v="2"/>
    <s v="Mumbai"/>
    <x v="2"/>
    <s v="Desk"/>
    <x v="0"/>
    <n v="9"/>
    <n v="29723"/>
    <n v="267507"/>
    <n v="220506.56"/>
    <n v="47000.44"/>
    <x v="1"/>
  </r>
  <r>
    <n v="1052"/>
    <x v="44"/>
    <x v="0"/>
    <x v="2"/>
    <s v="Delhi"/>
    <x v="0"/>
    <s v="Sweater"/>
    <x v="1"/>
    <n v="4"/>
    <n v="18496"/>
    <n v="73984"/>
    <n v="52526.28"/>
    <n v="21457.72"/>
    <x v="0"/>
  </r>
  <r>
    <n v="1053"/>
    <x v="45"/>
    <x v="0"/>
    <x v="4"/>
    <s v="Bangalore"/>
    <x v="1"/>
    <s v="Smartphone"/>
    <x v="2"/>
    <n v="4"/>
    <n v="25602"/>
    <n v="102408"/>
    <n v="79211.3"/>
    <n v="23196.7"/>
    <x v="1"/>
  </r>
  <r>
    <n v="1054"/>
    <x v="46"/>
    <x v="3"/>
    <x v="1"/>
    <s v="Ahmedabad"/>
    <x v="0"/>
    <s v="Sweater"/>
    <x v="4"/>
    <n v="7"/>
    <n v="4580"/>
    <n v="32060"/>
    <n v="20893.78"/>
    <n v="11166.22"/>
    <x v="1"/>
  </r>
  <r>
    <n v="1055"/>
    <x v="46"/>
    <x v="0"/>
    <x v="5"/>
    <s v="Mumbai"/>
    <x v="2"/>
    <s v="Chair"/>
    <x v="1"/>
    <n v="6"/>
    <n v="20069"/>
    <n v="120414"/>
    <n v="94930.64"/>
    <n v="25483.360000000001"/>
    <x v="1"/>
  </r>
  <r>
    <n v="1056"/>
    <x v="47"/>
    <x v="0"/>
    <x v="5"/>
    <s v="Mumbai"/>
    <x v="2"/>
    <s v="Chair"/>
    <x v="5"/>
    <n v="7"/>
    <n v="22528"/>
    <n v="157696"/>
    <n v="120987.27"/>
    <n v="36708.730000000003"/>
    <x v="0"/>
  </r>
  <r>
    <n v="1057"/>
    <x v="7"/>
    <x v="0"/>
    <x v="4"/>
    <s v="Delhi"/>
    <x v="2"/>
    <s v="Chair"/>
    <x v="2"/>
    <n v="2"/>
    <n v="42623"/>
    <n v="85246"/>
    <n v="60281.98"/>
    <n v="24964.02"/>
    <x v="1"/>
  </r>
  <r>
    <n v="1058"/>
    <x v="11"/>
    <x v="2"/>
    <x v="5"/>
    <s v="Delhi"/>
    <x v="1"/>
    <s v="Headphones"/>
    <x v="4"/>
    <n v="6"/>
    <n v="22618"/>
    <n v="135708"/>
    <n v="107251.04"/>
    <n v="28456.959999999999"/>
    <x v="1"/>
  </r>
  <r>
    <n v="1059"/>
    <x v="17"/>
    <x v="1"/>
    <x v="4"/>
    <s v="Mumbai"/>
    <x v="1"/>
    <s v="Laptop"/>
    <x v="3"/>
    <n v="6"/>
    <n v="15194"/>
    <n v="91164"/>
    <n v="69515.83"/>
    <n v="21648.17"/>
    <x v="0"/>
  </r>
  <r>
    <n v="1060"/>
    <x v="48"/>
    <x v="0"/>
    <x v="5"/>
    <s v="Ahmedabad"/>
    <x v="0"/>
    <s v="T-Shirt"/>
    <x v="1"/>
    <n v="4"/>
    <n v="8772"/>
    <n v="35088"/>
    <n v="25206.880000000001"/>
    <n v="9881.1200000000008"/>
    <x v="1"/>
  </r>
  <r>
    <n v="1061"/>
    <x v="49"/>
    <x v="2"/>
    <x v="1"/>
    <s v="Ahmedabad"/>
    <x v="1"/>
    <s v="Laptop"/>
    <x v="2"/>
    <n v="3"/>
    <n v="20884"/>
    <n v="62652"/>
    <n v="39284.35"/>
    <n v="23367.65"/>
    <x v="1"/>
  </r>
  <r>
    <n v="1062"/>
    <x v="50"/>
    <x v="0"/>
    <x v="4"/>
    <s v="Ahmedabad"/>
    <x v="0"/>
    <s v="T-Shirt"/>
    <x v="1"/>
    <n v="2"/>
    <n v="39303"/>
    <n v="78606"/>
    <n v="60735.21"/>
    <n v="17870.79"/>
    <x v="0"/>
  </r>
  <r>
    <n v="1063"/>
    <x v="51"/>
    <x v="1"/>
    <x v="1"/>
    <s v="Ahmedabad"/>
    <x v="0"/>
    <s v="Jacket"/>
    <x v="1"/>
    <n v="6"/>
    <n v="35413"/>
    <n v="212478"/>
    <n v="150242.03"/>
    <n v="62235.97"/>
    <x v="0"/>
  </r>
  <r>
    <n v="1064"/>
    <x v="52"/>
    <x v="3"/>
    <x v="0"/>
    <s v="Mumbai"/>
    <x v="2"/>
    <s v="Desk"/>
    <x v="2"/>
    <n v="2"/>
    <n v="28911"/>
    <n v="57822"/>
    <n v="48581.86"/>
    <n v="9240.14"/>
    <x v="0"/>
  </r>
  <r>
    <n v="1065"/>
    <x v="53"/>
    <x v="3"/>
    <x v="5"/>
    <s v="Ahmedabad"/>
    <x v="0"/>
    <s v="Jeans"/>
    <x v="5"/>
    <n v="10"/>
    <n v="53466"/>
    <n v="534660"/>
    <n v="443716.69"/>
    <n v="90943.31"/>
    <x v="1"/>
  </r>
  <r>
    <n v="1066"/>
    <x v="54"/>
    <x v="3"/>
    <x v="1"/>
    <s v="Chennai"/>
    <x v="2"/>
    <s v="Table"/>
    <x v="0"/>
    <n v="2"/>
    <n v="18779"/>
    <n v="37558"/>
    <n v="30812.880000000001"/>
    <n v="6745.12"/>
    <x v="1"/>
  </r>
  <r>
    <n v="1067"/>
    <x v="55"/>
    <x v="0"/>
    <x v="2"/>
    <s v="Delhi"/>
    <x v="2"/>
    <s v="Chair"/>
    <x v="1"/>
    <n v="8"/>
    <n v="56268"/>
    <n v="450144"/>
    <n v="306662.19"/>
    <n v="143481.81"/>
    <x v="1"/>
  </r>
  <r>
    <n v="1068"/>
    <x v="56"/>
    <x v="1"/>
    <x v="3"/>
    <s v="Ahmedabad"/>
    <x v="0"/>
    <s v="Jeans"/>
    <x v="2"/>
    <n v="9"/>
    <n v="1165"/>
    <n v="10485"/>
    <n v="7645.21"/>
    <n v="2839.79"/>
    <x v="1"/>
  </r>
  <r>
    <n v="1069"/>
    <x v="57"/>
    <x v="1"/>
    <x v="4"/>
    <s v="Delhi"/>
    <x v="0"/>
    <s v="T-Shirt"/>
    <x v="3"/>
    <n v="8"/>
    <n v="42829"/>
    <n v="342632"/>
    <n v="266554.2"/>
    <n v="76077.8"/>
    <x v="1"/>
  </r>
  <r>
    <n v="1070"/>
    <x v="20"/>
    <x v="2"/>
    <x v="5"/>
    <s v="Ahmedabad"/>
    <x v="0"/>
    <s v="T-Shirt"/>
    <x v="5"/>
    <n v="5"/>
    <n v="44013"/>
    <n v="220065"/>
    <n v="164034.01"/>
    <n v="56030.99"/>
    <x v="1"/>
  </r>
  <r>
    <n v="1071"/>
    <x v="58"/>
    <x v="0"/>
    <x v="2"/>
    <s v="Kolkata"/>
    <x v="2"/>
    <s v="Desk"/>
    <x v="0"/>
    <n v="5"/>
    <n v="20594"/>
    <n v="102970"/>
    <n v="68253.759999999995"/>
    <n v="34716.239999999998"/>
    <x v="0"/>
  </r>
  <r>
    <n v="1072"/>
    <x v="59"/>
    <x v="2"/>
    <x v="4"/>
    <s v="Mumbai"/>
    <x v="1"/>
    <s v="Smartphone"/>
    <x v="1"/>
    <n v="8"/>
    <n v="18620"/>
    <n v="148960"/>
    <n v="116359.55"/>
    <n v="32600.45"/>
    <x v="0"/>
  </r>
  <r>
    <n v="1073"/>
    <x v="60"/>
    <x v="2"/>
    <x v="4"/>
    <s v="Kolkata"/>
    <x v="2"/>
    <s v="Table"/>
    <x v="5"/>
    <n v="5"/>
    <n v="1427"/>
    <n v="7135"/>
    <n v="5543.93"/>
    <n v="1591.07"/>
    <x v="1"/>
  </r>
  <r>
    <n v="1074"/>
    <x v="61"/>
    <x v="2"/>
    <x v="5"/>
    <s v="Bangalore"/>
    <x v="0"/>
    <s v="T-Shirt"/>
    <x v="2"/>
    <n v="8"/>
    <n v="7223"/>
    <n v="57784"/>
    <n v="47277.71"/>
    <n v="10506.29"/>
    <x v="1"/>
  </r>
  <r>
    <n v="1075"/>
    <x v="62"/>
    <x v="3"/>
    <x v="5"/>
    <s v="Kolkata"/>
    <x v="1"/>
    <s v="Laptop"/>
    <x v="5"/>
    <n v="5"/>
    <n v="56973"/>
    <n v="284865"/>
    <n v="204941.08"/>
    <n v="79923.92"/>
    <x v="0"/>
  </r>
  <r>
    <n v="1076"/>
    <x v="34"/>
    <x v="1"/>
    <x v="1"/>
    <s v="Bangalore"/>
    <x v="1"/>
    <s v="Smartphone"/>
    <x v="5"/>
    <n v="10"/>
    <n v="20412"/>
    <n v="204120"/>
    <n v="126818.78"/>
    <n v="77301.22"/>
    <x v="0"/>
  </r>
  <r>
    <n v="1077"/>
    <x v="63"/>
    <x v="3"/>
    <x v="2"/>
    <s v="Chennai"/>
    <x v="0"/>
    <s v="Sweater"/>
    <x v="5"/>
    <n v="8"/>
    <n v="29514"/>
    <n v="236112"/>
    <n v="159219.35999999999"/>
    <n v="76892.639999999999"/>
    <x v="0"/>
  </r>
  <r>
    <n v="1078"/>
    <x v="64"/>
    <x v="1"/>
    <x v="3"/>
    <s v="Mumbai"/>
    <x v="0"/>
    <s v="Jacket"/>
    <x v="3"/>
    <n v="4"/>
    <n v="41493"/>
    <n v="165972"/>
    <n v="108339.27"/>
    <n v="57632.73"/>
    <x v="0"/>
  </r>
  <r>
    <n v="1079"/>
    <x v="65"/>
    <x v="2"/>
    <x v="4"/>
    <s v="Mumbai"/>
    <x v="1"/>
    <s v="Laptop"/>
    <x v="1"/>
    <n v="7"/>
    <n v="30024"/>
    <n v="210168"/>
    <n v="162321.74"/>
    <n v="47846.26"/>
    <x v="1"/>
  </r>
  <r>
    <n v="1080"/>
    <x v="66"/>
    <x v="0"/>
    <x v="5"/>
    <s v="Kolkata"/>
    <x v="0"/>
    <s v="Sweater"/>
    <x v="5"/>
    <n v="2"/>
    <n v="45548"/>
    <n v="91096"/>
    <n v="59973.59"/>
    <n v="31122.41"/>
    <x v="0"/>
  </r>
  <r>
    <n v="1081"/>
    <x v="23"/>
    <x v="0"/>
    <x v="2"/>
    <s v="Chennai"/>
    <x v="0"/>
    <s v="T-Shirt"/>
    <x v="0"/>
    <n v="5"/>
    <n v="54674"/>
    <n v="273370"/>
    <n v="173742.78"/>
    <n v="99627.22"/>
    <x v="1"/>
  </r>
  <r>
    <n v="1082"/>
    <x v="47"/>
    <x v="2"/>
    <x v="1"/>
    <s v="Chennai"/>
    <x v="2"/>
    <s v="Chair"/>
    <x v="2"/>
    <n v="8"/>
    <n v="45633"/>
    <n v="365064"/>
    <n v="246791.59"/>
    <n v="118272.41"/>
    <x v="1"/>
  </r>
  <r>
    <n v="1083"/>
    <x v="67"/>
    <x v="1"/>
    <x v="4"/>
    <s v="Mumbai"/>
    <x v="1"/>
    <s v="Laptop"/>
    <x v="0"/>
    <n v="7"/>
    <n v="48638"/>
    <n v="340466"/>
    <n v="231714.49"/>
    <n v="108751.51"/>
    <x v="0"/>
  </r>
  <r>
    <n v="1084"/>
    <x v="68"/>
    <x v="3"/>
    <x v="1"/>
    <s v="Ahmedabad"/>
    <x v="0"/>
    <s v="Jeans"/>
    <x v="2"/>
    <n v="10"/>
    <n v="3136"/>
    <n v="31360"/>
    <n v="24798.77"/>
    <n v="6561.23"/>
    <x v="1"/>
  </r>
  <r>
    <n v="1085"/>
    <x v="69"/>
    <x v="2"/>
    <x v="2"/>
    <s v="Ahmedabad"/>
    <x v="1"/>
    <s v="Headphones"/>
    <x v="4"/>
    <n v="8"/>
    <n v="6479"/>
    <n v="51832"/>
    <n v="37189.589999999997"/>
    <n v="14642.41"/>
    <x v="0"/>
  </r>
  <r>
    <n v="1086"/>
    <x v="70"/>
    <x v="1"/>
    <x v="5"/>
    <s v="Kolkata"/>
    <x v="2"/>
    <s v="Desk"/>
    <x v="1"/>
    <n v="8"/>
    <n v="19388"/>
    <n v="155104"/>
    <n v="118754.74"/>
    <n v="36349.26"/>
    <x v="1"/>
  </r>
  <r>
    <n v="1087"/>
    <x v="71"/>
    <x v="3"/>
    <x v="5"/>
    <s v="Kolkata"/>
    <x v="2"/>
    <s v="Chair"/>
    <x v="3"/>
    <n v="7"/>
    <n v="57182"/>
    <n v="400274"/>
    <n v="291659.28000000003"/>
    <n v="108614.72"/>
    <x v="1"/>
  </r>
  <r>
    <n v="1088"/>
    <x v="72"/>
    <x v="0"/>
    <x v="2"/>
    <s v="Bangalore"/>
    <x v="0"/>
    <s v="Sweater"/>
    <x v="0"/>
    <n v="8"/>
    <n v="50306"/>
    <n v="402448"/>
    <n v="246661.56"/>
    <n v="155786.44"/>
    <x v="1"/>
  </r>
  <r>
    <n v="1089"/>
    <x v="73"/>
    <x v="2"/>
    <x v="1"/>
    <s v="Kolkata"/>
    <x v="1"/>
    <s v="Laptop"/>
    <x v="5"/>
    <n v="10"/>
    <n v="52883"/>
    <n v="528830"/>
    <n v="348934.92"/>
    <n v="179895.08"/>
    <x v="1"/>
  </r>
  <r>
    <n v="1090"/>
    <x v="74"/>
    <x v="0"/>
    <x v="5"/>
    <s v="Ahmedabad"/>
    <x v="1"/>
    <s v="Smartphone"/>
    <x v="1"/>
    <n v="2"/>
    <n v="30741"/>
    <n v="61482"/>
    <n v="51446"/>
    <n v="10036"/>
    <x v="1"/>
  </r>
  <r>
    <n v="1091"/>
    <x v="75"/>
    <x v="3"/>
    <x v="3"/>
    <s v="Chennai"/>
    <x v="2"/>
    <s v="Desk"/>
    <x v="5"/>
    <n v="8"/>
    <n v="16473"/>
    <n v="131784"/>
    <n v="94119.69"/>
    <n v="37664.31"/>
    <x v="0"/>
  </r>
  <r>
    <n v="1092"/>
    <x v="13"/>
    <x v="2"/>
    <x v="4"/>
    <s v="Delhi"/>
    <x v="1"/>
    <s v="Tablet"/>
    <x v="0"/>
    <n v="7"/>
    <n v="22774"/>
    <n v="159418"/>
    <n v="132884.79999999999"/>
    <n v="26533.200000000001"/>
    <x v="1"/>
  </r>
  <r>
    <n v="1093"/>
    <x v="76"/>
    <x v="2"/>
    <x v="1"/>
    <s v="Chennai"/>
    <x v="0"/>
    <s v="Sweater"/>
    <x v="2"/>
    <n v="3"/>
    <n v="29764"/>
    <n v="89292"/>
    <n v="65597.929999999993"/>
    <n v="23694.07"/>
    <x v="1"/>
  </r>
  <r>
    <n v="1094"/>
    <x v="77"/>
    <x v="1"/>
    <x v="2"/>
    <s v="Ahmedabad"/>
    <x v="2"/>
    <s v="Table"/>
    <x v="2"/>
    <n v="4"/>
    <n v="37973"/>
    <n v="151892"/>
    <n v="105677.75"/>
    <n v="46214.25"/>
    <x v="1"/>
  </r>
  <r>
    <n v="1095"/>
    <x v="78"/>
    <x v="2"/>
    <x v="4"/>
    <s v="Bangalore"/>
    <x v="2"/>
    <s v="Table"/>
    <x v="4"/>
    <n v="8"/>
    <n v="2926"/>
    <n v="23408"/>
    <n v="14783.59"/>
    <n v="8624.41"/>
    <x v="1"/>
  </r>
  <r>
    <n v="1096"/>
    <x v="79"/>
    <x v="1"/>
    <x v="5"/>
    <s v="Delhi"/>
    <x v="1"/>
    <s v="Smartphone"/>
    <x v="1"/>
    <n v="7"/>
    <n v="57577"/>
    <n v="403039"/>
    <n v="307799"/>
    <n v="95240"/>
    <x v="1"/>
  </r>
  <r>
    <n v="1097"/>
    <x v="80"/>
    <x v="3"/>
    <x v="2"/>
    <s v="Ahmedabad"/>
    <x v="0"/>
    <s v="Jacket"/>
    <x v="0"/>
    <n v="6"/>
    <n v="56359"/>
    <n v="338154"/>
    <n v="259901.57"/>
    <n v="78252.429999999993"/>
    <x v="1"/>
  </r>
  <r>
    <n v="1098"/>
    <x v="81"/>
    <x v="2"/>
    <x v="3"/>
    <s v="Ahmedabad"/>
    <x v="0"/>
    <s v="Jacket"/>
    <x v="4"/>
    <n v="10"/>
    <n v="4984"/>
    <n v="49840"/>
    <n v="32829.24"/>
    <n v="17010.759999999998"/>
    <x v="1"/>
  </r>
  <r>
    <n v="1099"/>
    <x v="82"/>
    <x v="1"/>
    <x v="2"/>
    <s v="Kolkata"/>
    <x v="1"/>
    <s v="Laptop"/>
    <x v="1"/>
    <n v="8"/>
    <n v="11402"/>
    <n v="91216"/>
    <n v="70555.600000000006"/>
    <n v="20660.400000000001"/>
    <x v="1"/>
  </r>
  <r>
    <n v="1100"/>
    <x v="26"/>
    <x v="0"/>
    <x v="3"/>
    <s v="Mumbai"/>
    <x v="2"/>
    <s v="Desk"/>
    <x v="4"/>
    <n v="3"/>
    <n v="16503"/>
    <n v="49509"/>
    <n v="36279.78"/>
    <n v="13229.22"/>
    <x v="1"/>
  </r>
  <r>
    <n v="1101"/>
    <x v="7"/>
    <x v="2"/>
    <x v="5"/>
    <s v="Delhi"/>
    <x v="0"/>
    <s v="T-Shirt"/>
    <x v="0"/>
    <n v="8"/>
    <n v="38717"/>
    <n v="309736"/>
    <n v="196923.78"/>
    <n v="112812.22"/>
    <x v="0"/>
  </r>
  <r>
    <n v="1102"/>
    <x v="76"/>
    <x v="2"/>
    <x v="0"/>
    <s v="Bangalore"/>
    <x v="2"/>
    <s v="Sofa"/>
    <x v="0"/>
    <n v="9"/>
    <n v="10853"/>
    <n v="97677"/>
    <n v="60409.85"/>
    <n v="37267.15"/>
    <x v="1"/>
  </r>
  <r>
    <n v="1103"/>
    <x v="83"/>
    <x v="0"/>
    <x v="5"/>
    <s v="Chennai"/>
    <x v="2"/>
    <s v="Sofa"/>
    <x v="1"/>
    <n v="4"/>
    <n v="25711"/>
    <n v="102844"/>
    <n v="83646.509999999995"/>
    <n v="19197.490000000002"/>
    <x v="1"/>
  </r>
  <r>
    <n v="1104"/>
    <x v="84"/>
    <x v="1"/>
    <x v="1"/>
    <s v="Ahmedabad"/>
    <x v="0"/>
    <s v="Jeans"/>
    <x v="0"/>
    <n v="1"/>
    <n v="54897"/>
    <n v="54897"/>
    <n v="41971.91"/>
    <n v="12925.09"/>
    <x v="0"/>
  </r>
  <r>
    <n v="1105"/>
    <x v="85"/>
    <x v="2"/>
    <x v="3"/>
    <s v="Ahmedabad"/>
    <x v="0"/>
    <s v="Sweater"/>
    <x v="3"/>
    <n v="5"/>
    <n v="51338"/>
    <n v="256690"/>
    <n v="205278.85"/>
    <n v="51411.15"/>
    <x v="1"/>
  </r>
  <r>
    <n v="1106"/>
    <x v="32"/>
    <x v="2"/>
    <x v="5"/>
    <s v="Kolkata"/>
    <x v="0"/>
    <s v="T-Shirt"/>
    <x v="5"/>
    <n v="2"/>
    <n v="59705"/>
    <n v="119410"/>
    <n v="90377.19"/>
    <n v="29032.81"/>
    <x v="1"/>
  </r>
  <r>
    <n v="1107"/>
    <x v="86"/>
    <x v="0"/>
    <x v="3"/>
    <s v="Mumbai"/>
    <x v="0"/>
    <s v="T-Shirt"/>
    <x v="5"/>
    <n v="2"/>
    <n v="19840"/>
    <n v="39680"/>
    <n v="27049.05"/>
    <n v="12630.95"/>
    <x v="1"/>
  </r>
  <r>
    <n v="1108"/>
    <x v="53"/>
    <x v="2"/>
    <x v="0"/>
    <s v="Delhi"/>
    <x v="0"/>
    <s v="Jeans"/>
    <x v="4"/>
    <n v="3"/>
    <n v="17340"/>
    <n v="52020"/>
    <n v="43099.21"/>
    <n v="8920.7900000000009"/>
    <x v="1"/>
  </r>
  <r>
    <n v="1109"/>
    <x v="87"/>
    <x v="3"/>
    <x v="1"/>
    <s v="Delhi"/>
    <x v="1"/>
    <s v="Smartphone"/>
    <x v="4"/>
    <n v="4"/>
    <n v="56870"/>
    <n v="227480"/>
    <n v="174950.53"/>
    <n v="52529.47"/>
    <x v="1"/>
  </r>
  <r>
    <n v="1110"/>
    <x v="87"/>
    <x v="2"/>
    <x v="1"/>
    <s v="Bangalore"/>
    <x v="1"/>
    <s v="Tablet"/>
    <x v="0"/>
    <n v="9"/>
    <n v="8599"/>
    <n v="77391"/>
    <n v="55233.69"/>
    <n v="22157.31"/>
    <x v="1"/>
  </r>
  <r>
    <n v="1111"/>
    <x v="88"/>
    <x v="2"/>
    <x v="1"/>
    <s v="Mumbai"/>
    <x v="1"/>
    <s v="Smartphone"/>
    <x v="0"/>
    <n v="8"/>
    <n v="2140"/>
    <n v="17120"/>
    <n v="12923.66"/>
    <n v="4196.34"/>
    <x v="0"/>
  </r>
  <r>
    <n v="1112"/>
    <x v="10"/>
    <x v="1"/>
    <x v="4"/>
    <s v="Delhi"/>
    <x v="0"/>
    <s v="Sweater"/>
    <x v="2"/>
    <n v="5"/>
    <n v="43048"/>
    <n v="215240"/>
    <n v="151114.4"/>
    <n v="64125.599999999999"/>
    <x v="0"/>
  </r>
  <r>
    <n v="1113"/>
    <x v="51"/>
    <x v="3"/>
    <x v="1"/>
    <s v="Ahmedabad"/>
    <x v="1"/>
    <s v="Smartphone"/>
    <x v="0"/>
    <n v="9"/>
    <n v="9390"/>
    <n v="84510"/>
    <n v="58917.11"/>
    <n v="25592.89"/>
    <x v="0"/>
  </r>
  <r>
    <n v="1114"/>
    <x v="89"/>
    <x v="1"/>
    <x v="0"/>
    <s v="Delhi"/>
    <x v="2"/>
    <s v="Chair"/>
    <x v="3"/>
    <n v="8"/>
    <n v="40847"/>
    <n v="326776"/>
    <n v="229406.22"/>
    <n v="97369.78"/>
    <x v="1"/>
  </r>
  <r>
    <n v="1115"/>
    <x v="51"/>
    <x v="2"/>
    <x v="4"/>
    <s v="Bangalore"/>
    <x v="2"/>
    <s v="Table"/>
    <x v="1"/>
    <n v="6"/>
    <n v="7011"/>
    <n v="42066"/>
    <n v="35555.53"/>
    <n v="6510.47"/>
    <x v="0"/>
  </r>
  <r>
    <n v="1116"/>
    <x v="90"/>
    <x v="1"/>
    <x v="4"/>
    <s v="Delhi"/>
    <x v="1"/>
    <s v="Headphones"/>
    <x v="3"/>
    <n v="2"/>
    <n v="43935"/>
    <n v="87870"/>
    <n v="57381.43"/>
    <n v="30488.57"/>
    <x v="0"/>
  </r>
  <r>
    <n v="1117"/>
    <x v="91"/>
    <x v="0"/>
    <x v="3"/>
    <s v="Delhi"/>
    <x v="0"/>
    <s v="T-Shirt"/>
    <x v="3"/>
    <n v="2"/>
    <n v="54882"/>
    <n v="109764"/>
    <n v="86855.08"/>
    <n v="22908.92"/>
    <x v="0"/>
  </r>
  <r>
    <n v="1118"/>
    <x v="68"/>
    <x v="1"/>
    <x v="0"/>
    <s v="Kolkata"/>
    <x v="2"/>
    <s v="Table"/>
    <x v="3"/>
    <n v="3"/>
    <n v="35903"/>
    <n v="107709"/>
    <n v="71374.83"/>
    <n v="36334.17"/>
    <x v="0"/>
  </r>
  <r>
    <n v="1119"/>
    <x v="66"/>
    <x v="1"/>
    <x v="3"/>
    <s v="Ahmedabad"/>
    <x v="2"/>
    <s v="Table"/>
    <x v="2"/>
    <n v="10"/>
    <n v="21718"/>
    <n v="217180"/>
    <n v="131164.82999999999"/>
    <n v="86015.17"/>
    <x v="0"/>
  </r>
  <r>
    <n v="1120"/>
    <x v="41"/>
    <x v="1"/>
    <x v="5"/>
    <s v="Chennai"/>
    <x v="0"/>
    <s v="Jacket"/>
    <x v="3"/>
    <n v="8"/>
    <n v="29878"/>
    <n v="239024"/>
    <n v="189905.59"/>
    <n v="49118.41"/>
    <x v="0"/>
  </r>
  <r>
    <n v="1121"/>
    <x v="23"/>
    <x v="3"/>
    <x v="5"/>
    <s v="Bangalore"/>
    <x v="0"/>
    <s v="Jeans"/>
    <x v="0"/>
    <n v="8"/>
    <n v="42661"/>
    <n v="341288"/>
    <n v="287025.44"/>
    <n v="54262.559999999998"/>
    <x v="0"/>
  </r>
  <r>
    <n v="1122"/>
    <x v="85"/>
    <x v="0"/>
    <x v="4"/>
    <s v="Mumbai"/>
    <x v="2"/>
    <s v="Desk"/>
    <x v="1"/>
    <n v="2"/>
    <n v="59434"/>
    <n v="118868"/>
    <n v="73721.649999999994"/>
    <n v="45146.35"/>
    <x v="1"/>
  </r>
  <r>
    <n v="1123"/>
    <x v="92"/>
    <x v="1"/>
    <x v="0"/>
    <s v="Ahmedabad"/>
    <x v="2"/>
    <s v="Sofa"/>
    <x v="5"/>
    <n v="8"/>
    <n v="33631"/>
    <n v="269048"/>
    <n v="202151.02"/>
    <n v="66896.98"/>
    <x v="0"/>
  </r>
  <r>
    <n v="1124"/>
    <x v="93"/>
    <x v="3"/>
    <x v="5"/>
    <s v="Ahmedabad"/>
    <x v="2"/>
    <s v="Desk"/>
    <x v="4"/>
    <n v="4"/>
    <n v="27619"/>
    <n v="110476"/>
    <n v="75646.55"/>
    <n v="34829.449999999997"/>
    <x v="1"/>
  </r>
  <r>
    <n v="1125"/>
    <x v="81"/>
    <x v="3"/>
    <x v="4"/>
    <s v="Kolkata"/>
    <x v="2"/>
    <s v="Sofa"/>
    <x v="4"/>
    <n v="5"/>
    <n v="25030"/>
    <n v="125150"/>
    <n v="104925.53"/>
    <n v="20224.47"/>
    <x v="0"/>
  </r>
  <r>
    <n v="1126"/>
    <x v="23"/>
    <x v="2"/>
    <x v="0"/>
    <s v="Kolkata"/>
    <x v="2"/>
    <s v="Chair"/>
    <x v="2"/>
    <n v="6"/>
    <n v="53700"/>
    <n v="322200"/>
    <n v="203800.8"/>
    <n v="118399.2"/>
    <x v="1"/>
  </r>
  <r>
    <n v="1127"/>
    <x v="94"/>
    <x v="1"/>
    <x v="1"/>
    <s v="Chennai"/>
    <x v="0"/>
    <s v="Sweater"/>
    <x v="3"/>
    <n v="1"/>
    <n v="19350"/>
    <n v="19350"/>
    <n v="14514.48"/>
    <n v="4835.5200000000004"/>
    <x v="0"/>
  </r>
  <r>
    <n v="1128"/>
    <x v="24"/>
    <x v="2"/>
    <x v="4"/>
    <s v="Delhi"/>
    <x v="0"/>
    <s v="Sweater"/>
    <x v="5"/>
    <n v="4"/>
    <n v="56027"/>
    <n v="224108"/>
    <n v="140527.95000000001"/>
    <n v="83580.05"/>
    <x v="0"/>
  </r>
  <r>
    <n v="1129"/>
    <x v="72"/>
    <x v="1"/>
    <x v="3"/>
    <s v="Delhi"/>
    <x v="2"/>
    <s v="Chair"/>
    <x v="0"/>
    <n v="10"/>
    <n v="43611"/>
    <n v="436110"/>
    <n v="352100.04"/>
    <n v="84009.96"/>
    <x v="1"/>
  </r>
  <r>
    <n v="1130"/>
    <x v="26"/>
    <x v="3"/>
    <x v="4"/>
    <s v="Mumbai"/>
    <x v="2"/>
    <s v="Sofa"/>
    <x v="0"/>
    <n v="1"/>
    <n v="12388"/>
    <n v="12388"/>
    <n v="10126.76"/>
    <n v="2261.2399999999998"/>
    <x v="0"/>
  </r>
  <r>
    <n v="1131"/>
    <x v="73"/>
    <x v="2"/>
    <x v="2"/>
    <s v="Ahmedabad"/>
    <x v="1"/>
    <s v="Smartphone"/>
    <x v="1"/>
    <n v="7"/>
    <n v="28014"/>
    <n v="196098"/>
    <n v="139898.56"/>
    <n v="56199.44"/>
    <x v="0"/>
  </r>
  <r>
    <n v="1132"/>
    <x v="87"/>
    <x v="1"/>
    <x v="2"/>
    <s v="Bangalore"/>
    <x v="1"/>
    <s v="Smartphone"/>
    <x v="0"/>
    <n v="3"/>
    <n v="49942"/>
    <n v="149826"/>
    <n v="113037.66"/>
    <n v="36788.339999999997"/>
    <x v="1"/>
  </r>
  <r>
    <n v="1133"/>
    <x v="41"/>
    <x v="1"/>
    <x v="2"/>
    <s v="Bangalore"/>
    <x v="2"/>
    <s v="Desk"/>
    <x v="4"/>
    <n v="7"/>
    <n v="18402"/>
    <n v="128814"/>
    <n v="84230.48"/>
    <n v="44583.519999999997"/>
    <x v="1"/>
  </r>
  <r>
    <n v="1134"/>
    <x v="95"/>
    <x v="3"/>
    <x v="1"/>
    <s v="Kolkata"/>
    <x v="0"/>
    <s v="Sweater"/>
    <x v="4"/>
    <n v="9"/>
    <n v="44221"/>
    <n v="397989"/>
    <n v="269480.28000000003"/>
    <n v="128508.72"/>
    <x v="0"/>
  </r>
  <r>
    <n v="1135"/>
    <x v="96"/>
    <x v="1"/>
    <x v="4"/>
    <s v="Bangalore"/>
    <x v="2"/>
    <s v="Table"/>
    <x v="0"/>
    <n v="3"/>
    <n v="50580"/>
    <n v="151740"/>
    <n v="100737.13"/>
    <n v="51002.87"/>
    <x v="1"/>
  </r>
  <r>
    <n v="1136"/>
    <x v="97"/>
    <x v="2"/>
    <x v="4"/>
    <s v="Bangalore"/>
    <x v="1"/>
    <s v="Smartphone"/>
    <x v="0"/>
    <n v="7"/>
    <n v="35403"/>
    <n v="247821"/>
    <n v="192288.73"/>
    <n v="55532.27"/>
    <x v="0"/>
  </r>
  <r>
    <n v="1137"/>
    <x v="98"/>
    <x v="3"/>
    <x v="1"/>
    <s v="Bangalore"/>
    <x v="2"/>
    <s v="Chair"/>
    <x v="0"/>
    <n v="8"/>
    <n v="5602"/>
    <n v="44816"/>
    <n v="36548.68"/>
    <n v="8267.32"/>
    <x v="1"/>
  </r>
  <r>
    <n v="1138"/>
    <x v="99"/>
    <x v="3"/>
    <x v="0"/>
    <s v="Delhi"/>
    <x v="2"/>
    <s v="Chair"/>
    <x v="4"/>
    <n v="7"/>
    <n v="1866"/>
    <n v="13062"/>
    <n v="10992.33"/>
    <n v="2069.67"/>
    <x v="1"/>
  </r>
  <r>
    <n v="1139"/>
    <x v="100"/>
    <x v="3"/>
    <x v="2"/>
    <s v="Ahmedabad"/>
    <x v="1"/>
    <s v="Smartphone"/>
    <x v="1"/>
    <n v="7"/>
    <n v="39092"/>
    <n v="273644"/>
    <n v="191581.57"/>
    <n v="82062.429999999993"/>
    <x v="0"/>
  </r>
  <r>
    <n v="1140"/>
    <x v="14"/>
    <x v="0"/>
    <x v="2"/>
    <s v="Delhi"/>
    <x v="2"/>
    <s v="Table"/>
    <x v="0"/>
    <n v="2"/>
    <n v="33955"/>
    <n v="67910"/>
    <n v="51496.57"/>
    <n v="16413.43"/>
    <x v="0"/>
  </r>
  <r>
    <n v="1141"/>
    <x v="101"/>
    <x v="0"/>
    <x v="0"/>
    <s v="Kolkata"/>
    <x v="1"/>
    <s v="Laptop"/>
    <x v="3"/>
    <n v="3"/>
    <n v="17275"/>
    <n v="51825"/>
    <n v="33650.9"/>
    <n v="18174.099999999999"/>
    <x v="1"/>
  </r>
  <r>
    <n v="1142"/>
    <x v="102"/>
    <x v="2"/>
    <x v="0"/>
    <s v="Delhi"/>
    <x v="2"/>
    <s v="Desk"/>
    <x v="3"/>
    <n v="10"/>
    <n v="42639"/>
    <n v="426390"/>
    <n v="323555.21000000002"/>
    <n v="102834.79"/>
    <x v="1"/>
  </r>
  <r>
    <n v="1143"/>
    <x v="84"/>
    <x v="1"/>
    <x v="2"/>
    <s v="Chennai"/>
    <x v="1"/>
    <s v="Headphones"/>
    <x v="4"/>
    <n v="8"/>
    <n v="41878"/>
    <n v="335024"/>
    <n v="226377.43"/>
    <n v="108646.57"/>
    <x v="1"/>
  </r>
  <r>
    <n v="1144"/>
    <x v="44"/>
    <x v="1"/>
    <x v="0"/>
    <s v="Kolkata"/>
    <x v="2"/>
    <s v="Desk"/>
    <x v="5"/>
    <n v="1"/>
    <n v="4228"/>
    <n v="4228"/>
    <n v="2926.56"/>
    <n v="1301.44"/>
    <x v="1"/>
  </r>
  <r>
    <n v="1145"/>
    <x v="56"/>
    <x v="2"/>
    <x v="1"/>
    <s v="Bangalore"/>
    <x v="2"/>
    <s v="Chair"/>
    <x v="5"/>
    <n v="8"/>
    <n v="53572"/>
    <n v="428576"/>
    <n v="318395.18"/>
    <n v="110180.82"/>
    <x v="0"/>
  </r>
  <r>
    <n v="1146"/>
    <x v="103"/>
    <x v="1"/>
    <x v="1"/>
    <s v="Ahmedabad"/>
    <x v="1"/>
    <s v="Headphones"/>
    <x v="3"/>
    <n v="2"/>
    <n v="53647"/>
    <n v="107294"/>
    <n v="88494.13"/>
    <n v="18799.87"/>
    <x v="0"/>
  </r>
  <r>
    <n v="1147"/>
    <x v="73"/>
    <x v="2"/>
    <x v="2"/>
    <s v="Delhi"/>
    <x v="1"/>
    <s v="Headphones"/>
    <x v="2"/>
    <n v="8"/>
    <n v="34845"/>
    <n v="278760"/>
    <n v="203686.31"/>
    <n v="75073.69"/>
    <x v="1"/>
  </r>
  <r>
    <n v="1148"/>
    <x v="24"/>
    <x v="3"/>
    <x v="2"/>
    <s v="Delhi"/>
    <x v="2"/>
    <s v="Chair"/>
    <x v="0"/>
    <n v="6"/>
    <n v="4819"/>
    <n v="28914"/>
    <n v="19731.57"/>
    <n v="9182.43"/>
    <x v="0"/>
  </r>
  <r>
    <n v="1149"/>
    <x v="104"/>
    <x v="2"/>
    <x v="0"/>
    <s v="Ahmedabad"/>
    <x v="2"/>
    <s v="Chair"/>
    <x v="0"/>
    <n v="10"/>
    <n v="43990"/>
    <n v="439900"/>
    <n v="279493.59000000003"/>
    <n v="160406.41"/>
    <x v="1"/>
  </r>
  <r>
    <n v="1150"/>
    <x v="19"/>
    <x v="0"/>
    <x v="0"/>
    <s v="Ahmedabad"/>
    <x v="1"/>
    <s v="Laptop"/>
    <x v="0"/>
    <n v="5"/>
    <n v="37129"/>
    <n v="185645"/>
    <n v="128869.16"/>
    <n v="56775.839999999997"/>
    <x v="0"/>
  </r>
  <r>
    <n v="1151"/>
    <x v="105"/>
    <x v="0"/>
    <x v="3"/>
    <s v="Delhi"/>
    <x v="0"/>
    <s v="Sweater"/>
    <x v="2"/>
    <n v="9"/>
    <n v="24212"/>
    <n v="217908"/>
    <n v="131737.95000000001"/>
    <n v="86170.05"/>
    <x v="0"/>
  </r>
  <r>
    <n v="1152"/>
    <x v="92"/>
    <x v="1"/>
    <x v="0"/>
    <s v="Delhi"/>
    <x v="1"/>
    <s v="Smartphone"/>
    <x v="5"/>
    <n v="3"/>
    <n v="5557"/>
    <n v="16671"/>
    <n v="11235.39"/>
    <n v="5435.61"/>
    <x v="0"/>
  </r>
  <r>
    <n v="1153"/>
    <x v="106"/>
    <x v="0"/>
    <x v="0"/>
    <s v="Bangalore"/>
    <x v="0"/>
    <s v="Sweater"/>
    <x v="4"/>
    <n v="3"/>
    <n v="11133"/>
    <n v="33399"/>
    <n v="21549.42"/>
    <n v="11849.58"/>
    <x v="1"/>
  </r>
  <r>
    <n v="1154"/>
    <x v="57"/>
    <x v="0"/>
    <x v="1"/>
    <s v="Mumbai"/>
    <x v="2"/>
    <s v="Table"/>
    <x v="1"/>
    <n v="8"/>
    <n v="40515"/>
    <n v="324120"/>
    <n v="217559.71"/>
    <n v="106560.29"/>
    <x v="1"/>
  </r>
  <r>
    <n v="1155"/>
    <x v="27"/>
    <x v="3"/>
    <x v="1"/>
    <s v="Chennai"/>
    <x v="1"/>
    <s v="Tablet"/>
    <x v="2"/>
    <n v="10"/>
    <n v="29374"/>
    <n v="293740"/>
    <n v="210147.47"/>
    <n v="83592.53"/>
    <x v="0"/>
  </r>
  <r>
    <n v="1156"/>
    <x v="107"/>
    <x v="1"/>
    <x v="0"/>
    <s v="Chennai"/>
    <x v="1"/>
    <s v="Smartphone"/>
    <x v="4"/>
    <n v="5"/>
    <n v="3919"/>
    <n v="19595"/>
    <n v="14897.98"/>
    <n v="4697.0200000000004"/>
    <x v="1"/>
  </r>
  <r>
    <n v="1157"/>
    <x v="75"/>
    <x v="3"/>
    <x v="4"/>
    <s v="Mumbai"/>
    <x v="1"/>
    <s v="Smartphone"/>
    <x v="2"/>
    <n v="5"/>
    <n v="29946"/>
    <n v="149730"/>
    <n v="123725.87"/>
    <n v="26004.13"/>
    <x v="1"/>
  </r>
  <r>
    <n v="1158"/>
    <x v="33"/>
    <x v="3"/>
    <x v="4"/>
    <s v="Delhi"/>
    <x v="1"/>
    <s v="Headphones"/>
    <x v="3"/>
    <n v="1"/>
    <n v="26482"/>
    <n v="26482"/>
    <n v="19212.740000000002"/>
    <n v="7269.26"/>
    <x v="0"/>
  </r>
  <r>
    <n v="1159"/>
    <x v="108"/>
    <x v="2"/>
    <x v="5"/>
    <s v="Ahmedabad"/>
    <x v="2"/>
    <s v="Chair"/>
    <x v="3"/>
    <n v="6"/>
    <n v="52363"/>
    <n v="314178"/>
    <n v="199978.17"/>
    <n v="114199.83"/>
    <x v="1"/>
  </r>
  <r>
    <n v="1160"/>
    <x v="109"/>
    <x v="3"/>
    <x v="4"/>
    <s v="Delhi"/>
    <x v="2"/>
    <s v="Chair"/>
    <x v="3"/>
    <n v="2"/>
    <n v="1745"/>
    <n v="3490"/>
    <n v="2317.29"/>
    <n v="1172.71"/>
    <x v="1"/>
  </r>
  <r>
    <n v="1161"/>
    <x v="102"/>
    <x v="3"/>
    <x v="4"/>
    <s v="Kolkata"/>
    <x v="1"/>
    <s v="Laptop"/>
    <x v="2"/>
    <n v="4"/>
    <n v="28013"/>
    <n v="112052"/>
    <n v="85130.15"/>
    <n v="26921.85"/>
    <x v="0"/>
  </r>
  <r>
    <n v="1162"/>
    <x v="110"/>
    <x v="2"/>
    <x v="3"/>
    <s v="Chennai"/>
    <x v="0"/>
    <s v="T-Shirt"/>
    <x v="2"/>
    <n v="3"/>
    <n v="19588"/>
    <n v="58764"/>
    <n v="41564.35"/>
    <n v="17199.650000000001"/>
    <x v="0"/>
  </r>
  <r>
    <n v="1163"/>
    <x v="59"/>
    <x v="1"/>
    <x v="5"/>
    <s v="Bangalore"/>
    <x v="0"/>
    <s v="Jacket"/>
    <x v="4"/>
    <n v="9"/>
    <n v="24132"/>
    <n v="217188"/>
    <n v="133987.57999999999"/>
    <n v="83200.42"/>
    <x v="1"/>
  </r>
  <r>
    <n v="1164"/>
    <x v="76"/>
    <x v="0"/>
    <x v="0"/>
    <s v="Ahmedabad"/>
    <x v="2"/>
    <s v="Sofa"/>
    <x v="0"/>
    <n v="1"/>
    <n v="23902"/>
    <n v="23902"/>
    <n v="19053"/>
    <n v="4849"/>
    <x v="0"/>
  </r>
  <r>
    <n v="1165"/>
    <x v="111"/>
    <x v="0"/>
    <x v="0"/>
    <s v="Bangalore"/>
    <x v="0"/>
    <s v="Jeans"/>
    <x v="0"/>
    <n v="3"/>
    <n v="3405"/>
    <n v="10215"/>
    <n v="7028.68"/>
    <n v="3186.32"/>
    <x v="1"/>
  </r>
  <r>
    <n v="1166"/>
    <x v="9"/>
    <x v="1"/>
    <x v="2"/>
    <s v="Mumbai"/>
    <x v="0"/>
    <s v="T-Shirt"/>
    <x v="4"/>
    <n v="3"/>
    <n v="4635"/>
    <n v="13905"/>
    <n v="10832.15"/>
    <n v="3072.85"/>
    <x v="0"/>
  </r>
  <r>
    <n v="1167"/>
    <x v="112"/>
    <x v="3"/>
    <x v="2"/>
    <s v="Kolkata"/>
    <x v="1"/>
    <s v="Tablet"/>
    <x v="0"/>
    <n v="5"/>
    <n v="34276"/>
    <n v="171380"/>
    <n v="119889.91"/>
    <n v="51490.09"/>
    <x v="0"/>
  </r>
  <r>
    <n v="1168"/>
    <x v="113"/>
    <x v="1"/>
    <x v="2"/>
    <s v="Bangalore"/>
    <x v="2"/>
    <s v="Sofa"/>
    <x v="2"/>
    <n v="1"/>
    <n v="57240"/>
    <n v="57240"/>
    <n v="43727.519999999997"/>
    <n v="13512.48"/>
    <x v="1"/>
  </r>
  <r>
    <n v="1169"/>
    <x v="51"/>
    <x v="2"/>
    <x v="4"/>
    <s v="Ahmedabad"/>
    <x v="2"/>
    <s v="Sofa"/>
    <x v="2"/>
    <n v="3"/>
    <n v="33019"/>
    <n v="99057"/>
    <n v="76572.759999999995"/>
    <n v="22484.240000000002"/>
    <x v="0"/>
  </r>
  <r>
    <n v="1170"/>
    <x v="100"/>
    <x v="2"/>
    <x v="0"/>
    <s v="Delhi"/>
    <x v="2"/>
    <s v="Table"/>
    <x v="1"/>
    <n v="9"/>
    <n v="19752"/>
    <n v="177768"/>
    <n v="120936.08"/>
    <n v="56831.92"/>
    <x v="1"/>
  </r>
  <r>
    <n v="1171"/>
    <x v="57"/>
    <x v="1"/>
    <x v="0"/>
    <s v="Delhi"/>
    <x v="0"/>
    <s v="Sweater"/>
    <x v="5"/>
    <n v="3"/>
    <n v="45704"/>
    <n v="137112"/>
    <n v="97483.49"/>
    <n v="39628.51"/>
    <x v="1"/>
  </r>
  <r>
    <n v="1172"/>
    <x v="114"/>
    <x v="0"/>
    <x v="4"/>
    <s v="Mumbai"/>
    <x v="2"/>
    <s v="Chair"/>
    <x v="5"/>
    <n v="2"/>
    <n v="44486"/>
    <n v="88972"/>
    <n v="67563.39"/>
    <n v="21408.61"/>
    <x v="1"/>
  </r>
  <r>
    <n v="1173"/>
    <x v="114"/>
    <x v="2"/>
    <x v="5"/>
    <s v="Chennai"/>
    <x v="1"/>
    <s v="Smartphone"/>
    <x v="4"/>
    <n v="2"/>
    <n v="15966"/>
    <n v="31932"/>
    <n v="25374.09"/>
    <n v="6557.91"/>
    <x v="0"/>
  </r>
  <r>
    <n v="1174"/>
    <x v="115"/>
    <x v="0"/>
    <x v="1"/>
    <s v="Delhi"/>
    <x v="0"/>
    <s v="Sweater"/>
    <x v="2"/>
    <n v="6"/>
    <n v="24880"/>
    <n v="149280"/>
    <n v="106135.81"/>
    <n v="43144.19"/>
    <x v="1"/>
  </r>
  <r>
    <n v="1175"/>
    <x v="116"/>
    <x v="3"/>
    <x v="1"/>
    <s v="Bangalore"/>
    <x v="0"/>
    <s v="Jeans"/>
    <x v="5"/>
    <n v="4"/>
    <n v="7934"/>
    <n v="31736"/>
    <n v="19247.2"/>
    <n v="12488.8"/>
    <x v="0"/>
  </r>
  <r>
    <n v="1176"/>
    <x v="44"/>
    <x v="3"/>
    <x v="3"/>
    <s v="Kolkata"/>
    <x v="2"/>
    <s v="Sofa"/>
    <x v="3"/>
    <n v="8"/>
    <n v="14562"/>
    <n v="116496"/>
    <n v="98915.74"/>
    <n v="17580.259999999998"/>
    <x v="0"/>
  </r>
  <r>
    <n v="1177"/>
    <x v="117"/>
    <x v="2"/>
    <x v="0"/>
    <s v="Kolkata"/>
    <x v="2"/>
    <s v="Table"/>
    <x v="5"/>
    <n v="8"/>
    <n v="6253"/>
    <n v="50024"/>
    <n v="40150.68"/>
    <n v="9873.32"/>
    <x v="1"/>
  </r>
  <r>
    <n v="1178"/>
    <x v="0"/>
    <x v="1"/>
    <x v="3"/>
    <s v="Mumbai"/>
    <x v="2"/>
    <s v="Table"/>
    <x v="3"/>
    <n v="3"/>
    <n v="52515"/>
    <n v="157545"/>
    <n v="108764.82"/>
    <n v="48780.18"/>
    <x v="1"/>
  </r>
  <r>
    <n v="1179"/>
    <x v="18"/>
    <x v="0"/>
    <x v="1"/>
    <s v="Kolkata"/>
    <x v="1"/>
    <s v="Tablet"/>
    <x v="4"/>
    <n v="9"/>
    <n v="38004"/>
    <n v="342036"/>
    <n v="236766.82"/>
    <n v="105269.18"/>
    <x v="1"/>
  </r>
  <r>
    <n v="1180"/>
    <x v="98"/>
    <x v="1"/>
    <x v="3"/>
    <s v="Delhi"/>
    <x v="2"/>
    <s v="Desk"/>
    <x v="0"/>
    <n v="9"/>
    <n v="27421"/>
    <n v="246789"/>
    <n v="195528.74"/>
    <n v="51260.26"/>
    <x v="0"/>
  </r>
  <r>
    <n v="1181"/>
    <x v="18"/>
    <x v="0"/>
    <x v="3"/>
    <s v="Bangalore"/>
    <x v="2"/>
    <s v="Desk"/>
    <x v="5"/>
    <n v="9"/>
    <n v="23078"/>
    <n v="207702"/>
    <n v="131285.04"/>
    <n v="76416.960000000006"/>
    <x v="0"/>
  </r>
  <r>
    <n v="1182"/>
    <x v="0"/>
    <x v="2"/>
    <x v="1"/>
    <s v="Delhi"/>
    <x v="1"/>
    <s v="Smartphone"/>
    <x v="4"/>
    <n v="5"/>
    <n v="11290"/>
    <n v="56450"/>
    <n v="36155.760000000002"/>
    <n v="20294.240000000002"/>
    <x v="1"/>
  </r>
  <r>
    <n v="1183"/>
    <x v="80"/>
    <x v="1"/>
    <x v="1"/>
    <s v="Ahmedabad"/>
    <x v="1"/>
    <s v="Tablet"/>
    <x v="3"/>
    <n v="3"/>
    <n v="41461"/>
    <n v="124383"/>
    <n v="84046.36"/>
    <n v="40336.639999999999"/>
    <x v="0"/>
  </r>
  <r>
    <n v="1184"/>
    <x v="82"/>
    <x v="1"/>
    <x v="4"/>
    <s v="Ahmedabad"/>
    <x v="1"/>
    <s v="Tablet"/>
    <x v="5"/>
    <n v="10"/>
    <n v="3199"/>
    <n v="31990"/>
    <n v="25793.83"/>
    <n v="6196.17"/>
    <x v="1"/>
  </r>
  <r>
    <n v="1185"/>
    <x v="82"/>
    <x v="3"/>
    <x v="0"/>
    <s v="Chennai"/>
    <x v="0"/>
    <s v="T-Shirt"/>
    <x v="1"/>
    <n v="10"/>
    <n v="27801"/>
    <n v="278010"/>
    <n v="209766.08"/>
    <n v="68243.92"/>
    <x v="1"/>
  </r>
  <r>
    <n v="1186"/>
    <x v="31"/>
    <x v="1"/>
    <x v="3"/>
    <s v="Bangalore"/>
    <x v="2"/>
    <s v="Table"/>
    <x v="2"/>
    <n v="7"/>
    <n v="19992"/>
    <n v="139944"/>
    <n v="99834.1"/>
    <n v="40109.9"/>
    <x v="1"/>
  </r>
  <r>
    <n v="1187"/>
    <x v="117"/>
    <x v="2"/>
    <x v="5"/>
    <s v="Mumbai"/>
    <x v="2"/>
    <s v="Table"/>
    <x v="1"/>
    <n v="6"/>
    <n v="40258"/>
    <n v="241548"/>
    <n v="153604.51999999999"/>
    <n v="87943.48"/>
    <x v="0"/>
  </r>
  <r>
    <n v="1188"/>
    <x v="34"/>
    <x v="0"/>
    <x v="4"/>
    <s v="Kolkata"/>
    <x v="2"/>
    <s v="Table"/>
    <x v="1"/>
    <n v="8"/>
    <n v="8529"/>
    <n v="68232"/>
    <n v="45501.73"/>
    <n v="22730.27"/>
    <x v="1"/>
  </r>
  <r>
    <n v="1189"/>
    <x v="96"/>
    <x v="2"/>
    <x v="3"/>
    <s v="Mumbai"/>
    <x v="0"/>
    <s v="Sweater"/>
    <x v="2"/>
    <n v="4"/>
    <n v="57208"/>
    <n v="228832"/>
    <n v="188918.6"/>
    <n v="39913.4"/>
    <x v="1"/>
  </r>
  <r>
    <n v="1190"/>
    <x v="118"/>
    <x v="3"/>
    <x v="3"/>
    <s v="Mumbai"/>
    <x v="2"/>
    <s v="Sofa"/>
    <x v="5"/>
    <n v="8"/>
    <n v="2018"/>
    <n v="16144"/>
    <n v="10049.84"/>
    <n v="6094.16"/>
    <x v="1"/>
  </r>
  <r>
    <n v="1191"/>
    <x v="42"/>
    <x v="3"/>
    <x v="2"/>
    <s v="Chennai"/>
    <x v="1"/>
    <s v="Laptop"/>
    <x v="4"/>
    <n v="5"/>
    <n v="32933"/>
    <n v="164665"/>
    <n v="123396.61"/>
    <n v="41268.39"/>
    <x v="0"/>
  </r>
  <r>
    <n v="1192"/>
    <x v="47"/>
    <x v="2"/>
    <x v="4"/>
    <s v="Bangalore"/>
    <x v="2"/>
    <s v="Table"/>
    <x v="4"/>
    <n v="5"/>
    <n v="48177"/>
    <n v="240885"/>
    <n v="166558.59"/>
    <n v="74326.41"/>
    <x v="0"/>
  </r>
  <r>
    <n v="1193"/>
    <x v="16"/>
    <x v="2"/>
    <x v="1"/>
    <s v="Ahmedabad"/>
    <x v="2"/>
    <s v="Sofa"/>
    <x v="5"/>
    <n v="2"/>
    <n v="25819"/>
    <n v="51638"/>
    <n v="37492.49"/>
    <n v="14145.51"/>
    <x v="0"/>
  </r>
  <r>
    <n v="1194"/>
    <x v="111"/>
    <x v="2"/>
    <x v="3"/>
    <s v="Mumbai"/>
    <x v="1"/>
    <s v="Laptop"/>
    <x v="5"/>
    <n v="7"/>
    <n v="24957"/>
    <n v="174699"/>
    <n v="139536.34"/>
    <n v="35162.660000000003"/>
    <x v="1"/>
  </r>
  <r>
    <n v="1195"/>
    <x v="119"/>
    <x v="3"/>
    <x v="1"/>
    <s v="Bangalore"/>
    <x v="0"/>
    <s v="Jacket"/>
    <x v="3"/>
    <n v="1"/>
    <n v="3050"/>
    <n v="3050"/>
    <n v="1934.49"/>
    <n v="1115.51"/>
    <x v="0"/>
  </r>
  <r>
    <n v="1196"/>
    <x v="120"/>
    <x v="2"/>
    <x v="1"/>
    <s v="Chennai"/>
    <x v="2"/>
    <s v="Sofa"/>
    <x v="5"/>
    <n v="3"/>
    <n v="26252"/>
    <n v="78756"/>
    <n v="66757.83"/>
    <n v="11998.17"/>
    <x v="1"/>
  </r>
  <r>
    <n v="1197"/>
    <x v="19"/>
    <x v="1"/>
    <x v="5"/>
    <s v="Chennai"/>
    <x v="0"/>
    <s v="Jeans"/>
    <x v="1"/>
    <n v="8"/>
    <n v="53960"/>
    <n v="431680"/>
    <n v="260803.46"/>
    <n v="170876.54"/>
    <x v="0"/>
  </r>
  <r>
    <n v="1198"/>
    <x v="40"/>
    <x v="0"/>
    <x v="0"/>
    <s v="Kolkata"/>
    <x v="0"/>
    <s v="Sweater"/>
    <x v="5"/>
    <n v="5"/>
    <n v="43464"/>
    <n v="217320"/>
    <n v="172927.17"/>
    <n v="44392.83"/>
    <x v="1"/>
  </r>
  <r>
    <n v="1199"/>
    <x v="121"/>
    <x v="1"/>
    <x v="3"/>
    <s v="Kolkata"/>
    <x v="1"/>
    <s v="Headphones"/>
    <x v="2"/>
    <n v="3"/>
    <n v="54348"/>
    <n v="163044"/>
    <n v="125573.51"/>
    <n v="37470.49"/>
    <x v="1"/>
  </r>
  <r>
    <n v="1200"/>
    <x v="97"/>
    <x v="3"/>
    <x v="0"/>
    <s v="Ahmedabad"/>
    <x v="2"/>
    <s v="Table"/>
    <x v="4"/>
    <n v="7"/>
    <n v="45752"/>
    <n v="320264"/>
    <n v="208483.19"/>
    <n v="111780.81"/>
    <x v="0"/>
  </r>
  <r>
    <m/>
    <x v="122"/>
    <x v="4"/>
    <x v="6"/>
    <m/>
    <x v="3"/>
    <m/>
    <x v="6"/>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3CB487-34B7-48CF-9162-4822DFF1B0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7:B32" firstHeaderRow="1" firstDataRow="1" firstDataCol="1"/>
  <pivotFields count="16">
    <pivotField showAll="0"/>
    <pivotField showAll="0">
      <items count="124">
        <item x="71"/>
        <item x="2"/>
        <item x="49"/>
        <item x="82"/>
        <item x="121"/>
        <item x="108"/>
        <item x="32"/>
        <item x="21"/>
        <item x="23"/>
        <item x="62"/>
        <item x="35"/>
        <item x="115"/>
        <item x="100"/>
        <item x="3"/>
        <item x="92"/>
        <item x="28"/>
        <item x="83"/>
        <item x="48"/>
        <item x="58"/>
        <item x="43"/>
        <item x="60"/>
        <item x="30"/>
        <item x="10"/>
        <item x="75"/>
        <item x="109"/>
        <item x="79"/>
        <item x="73"/>
        <item x="99"/>
        <item x="68"/>
        <item x="116"/>
        <item x="56"/>
        <item x="29"/>
        <item x="91"/>
        <item x="95"/>
        <item x="0"/>
        <item x="1"/>
        <item x="33"/>
        <item x="54"/>
        <item x="34"/>
        <item x="67"/>
        <item x="36"/>
        <item x="66"/>
        <item x="72"/>
        <item x="113"/>
        <item x="84"/>
        <item x="89"/>
        <item x="27"/>
        <item x="44"/>
        <item x="5"/>
        <item x="120"/>
        <item x="105"/>
        <item x="8"/>
        <item x="117"/>
        <item x="96"/>
        <item x="19"/>
        <item x="119"/>
        <item x="111"/>
        <item x="103"/>
        <item x="76"/>
        <item x="104"/>
        <item x="94"/>
        <item x="114"/>
        <item x="51"/>
        <item x="107"/>
        <item x="4"/>
        <item x="11"/>
        <item x="118"/>
        <item x="70"/>
        <item x="47"/>
        <item x="69"/>
        <item x="77"/>
        <item x="86"/>
        <item x="46"/>
        <item x="37"/>
        <item x="57"/>
        <item x="93"/>
        <item x="9"/>
        <item x="7"/>
        <item x="65"/>
        <item x="20"/>
        <item x="25"/>
        <item x="53"/>
        <item x="55"/>
        <item x="97"/>
        <item x="13"/>
        <item x="41"/>
        <item x="59"/>
        <item x="14"/>
        <item x="80"/>
        <item x="38"/>
        <item x="22"/>
        <item x="112"/>
        <item x="16"/>
        <item x="18"/>
        <item x="24"/>
        <item x="88"/>
        <item x="26"/>
        <item x="15"/>
        <item x="61"/>
        <item x="98"/>
        <item x="40"/>
        <item x="63"/>
        <item x="78"/>
        <item x="101"/>
        <item x="85"/>
        <item x="110"/>
        <item x="102"/>
        <item x="50"/>
        <item x="52"/>
        <item x="90"/>
        <item x="12"/>
        <item x="74"/>
        <item x="17"/>
        <item x="42"/>
        <item x="64"/>
        <item x="39"/>
        <item x="6"/>
        <item x="87"/>
        <item x="81"/>
        <item x="31"/>
        <item x="106"/>
        <item x="45"/>
        <item x="122"/>
        <item t="default"/>
      </items>
    </pivotField>
    <pivotField showAll="0">
      <items count="6">
        <item x="1"/>
        <item x="2"/>
        <item x="3"/>
        <item x="0"/>
        <item x="4"/>
        <item t="default"/>
      </items>
    </pivotField>
    <pivotField showAll="0">
      <items count="8">
        <item x="2"/>
        <item x="0"/>
        <item x="5"/>
        <item x="3"/>
        <item x="1"/>
        <item x="4"/>
        <item x="6"/>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Profit" fld="12"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1B551-1ECF-4066-8FD8-1106155269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6">
    <pivotField showAll="0"/>
    <pivotField axis="axisRow" showAll="0">
      <items count="124">
        <item x="71"/>
        <item x="2"/>
        <item x="49"/>
        <item x="82"/>
        <item x="121"/>
        <item x="108"/>
        <item x="32"/>
        <item x="21"/>
        <item x="23"/>
        <item x="62"/>
        <item x="35"/>
        <item x="115"/>
        <item x="100"/>
        <item x="3"/>
        <item x="92"/>
        <item x="28"/>
        <item x="83"/>
        <item x="48"/>
        <item x="58"/>
        <item x="43"/>
        <item x="60"/>
        <item x="30"/>
        <item x="10"/>
        <item x="75"/>
        <item x="109"/>
        <item x="79"/>
        <item x="73"/>
        <item x="99"/>
        <item x="68"/>
        <item x="116"/>
        <item x="56"/>
        <item x="29"/>
        <item x="91"/>
        <item x="95"/>
        <item x="0"/>
        <item x="1"/>
        <item x="33"/>
        <item x="54"/>
        <item x="34"/>
        <item x="67"/>
        <item x="36"/>
        <item x="66"/>
        <item x="72"/>
        <item x="113"/>
        <item x="84"/>
        <item x="89"/>
        <item x="27"/>
        <item x="44"/>
        <item x="5"/>
        <item x="120"/>
        <item x="105"/>
        <item x="8"/>
        <item x="117"/>
        <item x="96"/>
        <item x="19"/>
        <item x="119"/>
        <item x="111"/>
        <item x="103"/>
        <item x="76"/>
        <item x="104"/>
        <item x="94"/>
        <item x="114"/>
        <item x="51"/>
        <item x="107"/>
        <item x="4"/>
        <item x="11"/>
        <item x="118"/>
        <item x="70"/>
        <item x="47"/>
        <item x="69"/>
        <item x="77"/>
        <item x="86"/>
        <item x="46"/>
        <item x="37"/>
        <item x="57"/>
        <item x="93"/>
        <item x="9"/>
        <item x="7"/>
        <item x="65"/>
        <item x="20"/>
        <item x="25"/>
        <item x="53"/>
        <item x="55"/>
        <item x="97"/>
        <item x="13"/>
        <item x="41"/>
        <item x="59"/>
        <item x="14"/>
        <item x="80"/>
        <item x="38"/>
        <item x="22"/>
        <item x="112"/>
        <item x="16"/>
        <item x="18"/>
        <item x="24"/>
        <item x="88"/>
        <item x="26"/>
        <item x="15"/>
        <item x="61"/>
        <item x="98"/>
        <item x="40"/>
        <item x="63"/>
        <item x="78"/>
        <item x="101"/>
        <item x="85"/>
        <item x="110"/>
        <item x="102"/>
        <item x="50"/>
        <item x="52"/>
        <item x="90"/>
        <item x="12"/>
        <item x="74"/>
        <item x="17"/>
        <item x="42"/>
        <item x="64"/>
        <item x="39"/>
        <item x="6"/>
        <item x="87"/>
        <item x="81"/>
        <item x="31"/>
        <item x="106"/>
        <item x="45"/>
        <item x="122"/>
        <item t="default"/>
      </items>
    </pivotField>
    <pivotField showAll="0">
      <items count="6">
        <item x="1"/>
        <item x="2"/>
        <item x="3"/>
        <item x="0"/>
        <item x="4"/>
        <item t="default"/>
      </items>
    </pivotField>
    <pivotField showAll="0">
      <items count="8">
        <item x="2"/>
        <item x="0"/>
        <item x="5"/>
        <item x="3"/>
        <item x="1"/>
        <item x="4"/>
        <item x="6"/>
        <item t="default"/>
      </items>
    </pivotField>
    <pivotField showAll="0"/>
    <pivotField showAll="0">
      <items count="5">
        <item x="0"/>
        <item x="1"/>
        <item x="2"/>
        <item x="3"/>
        <item t="default"/>
      </items>
    </pivotField>
    <pivotField showAll="0"/>
    <pivotField showAll="0">
      <items count="8">
        <item x="1"/>
        <item x="5"/>
        <item x="2"/>
        <item x="3"/>
        <item x="4"/>
        <item x="0"/>
        <item x="6"/>
        <item t="default"/>
      </items>
    </pivotField>
    <pivotField showAll="0"/>
    <pivotField showAll="0"/>
    <pivotField dataField="1" showAll="0"/>
    <pivotField showAll="0"/>
    <pivotField showAll="0"/>
    <pivotField showAll="0">
      <items count="4">
        <item x="0"/>
        <item x="1"/>
        <item x="2"/>
        <item t="default"/>
      </items>
    </pivotField>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7">
    <i>
      <x v="1"/>
    </i>
    <i>
      <x v="2"/>
    </i>
    <i>
      <x v="3"/>
    </i>
    <i>
      <x v="4"/>
    </i>
    <i>
      <x v="5"/>
    </i>
    <i>
      <x v="6"/>
    </i>
    <i t="grand">
      <x/>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E058A-464F-41F5-B8F1-73335318DD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1:O28" firstHeaderRow="1" firstDataRow="1" firstDataCol="1"/>
  <pivotFields count="16">
    <pivotField showAll="0"/>
    <pivotField showAll="0">
      <items count="124">
        <item x="71"/>
        <item x="2"/>
        <item x="49"/>
        <item x="82"/>
        <item x="121"/>
        <item x="108"/>
        <item x="32"/>
        <item x="21"/>
        <item x="23"/>
        <item x="62"/>
        <item x="35"/>
        <item x="115"/>
        <item x="100"/>
        <item x="3"/>
        <item x="92"/>
        <item x="28"/>
        <item x="83"/>
        <item x="48"/>
        <item x="58"/>
        <item x="43"/>
        <item x="60"/>
        <item x="30"/>
        <item x="10"/>
        <item x="75"/>
        <item x="109"/>
        <item x="79"/>
        <item x="73"/>
        <item x="99"/>
        <item x="68"/>
        <item x="116"/>
        <item x="56"/>
        <item x="29"/>
        <item x="91"/>
        <item x="95"/>
        <item x="0"/>
        <item x="1"/>
        <item x="33"/>
        <item x="54"/>
        <item x="34"/>
        <item x="67"/>
        <item x="36"/>
        <item x="66"/>
        <item x="72"/>
        <item x="113"/>
        <item x="84"/>
        <item x="89"/>
        <item x="27"/>
        <item x="44"/>
        <item x="5"/>
        <item x="120"/>
        <item x="105"/>
        <item x="8"/>
        <item x="117"/>
        <item x="96"/>
        <item x="19"/>
        <item x="119"/>
        <item x="111"/>
        <item x="103"/>
        <item x="76"/>
        <item x="104"/>
        <item x="94"/>
        <item x="114"/>
        <item x="51"/>
        <item x="107"/>
        <item x="4"/>
        <item x="11"/>
        <item x="118"/>
        <item x="70"/>
        <item x="47"/>
        <item x="69"/>
        <item x="77"/>
        <item x="86"/>
        <item x="46"/>
        <item x="37"/>
        <item x="57"/>
        <item x="93"/>
        <item x="9"/>
        <item x="7"/>
        <item x="65"/>
        <item x="20"/>
        <item x="25"/>
        <item x="53"/>
        <item x="55"/>
        <item x="97"/>
        <item x="13"/>
        <item x="41"/>
        <item x="59"/>
        <item x="14"/>
        <item x="80"/>
        <item x="38"/>
        <item x="22"/>
        <item x="112"/>
        <item x="16"/>
        <item x="18"/>
        <item x="24"/>
        <item x="88"/>
        <item x="26"/>
        <item x="15"/>
        <item x="61"/>
        <item x="98"/>
        <item x="40"/>
        <item x="63"/>
        <item x="78"/>
        <item x="101"/>
        <item x="85"/>
        <item x="110"/>
        <item x="102"/>
        <item x="50"/>
        <item x="52"/>
        <item x="90"/>
        <item x="12"/>
        <item x="74"/>
        <item x="17"/>
        <item x="42"/>
        <item x="64"/>
        <item x="39"/>
        <item x="6"/>
        <item x="87"/>
        <item x="81"/>
        <item x="31"/>
        <item x="106"/>
        <item x="45"/>
        <item x="122"/>
        <item t="default"/>
      </items>
    </pivotField>
    <pivotField showAll="0">
      <items count="6">
        <item x="1"/>
        <item x="2"/>
        <item x="3"/>
        <item x="0"/>
        <item x="4"/>
        <item t="default"/>
      </items>
    </pivotField>
    <pivotField showAll="0">
      <items count="8">
        <item x="2"/>
        <item x="0"/>
        <item x="5"/>
        <item x="3"/>
        <item x="1"/>
        <item x="4"/>
        <item x="6"/>
        <item t="default"/>
      </items>
    </pivotField>
    <pivotField showAll="0"/>
    <pivotField showAll="0">
      <items count="5">
        <item x="0"/>
        <item x="1"/>
        <item x="2"/>
        <item x="3"/>
        <item t="default"/>
      </items>
    </pivotField>
    <pivotField showAll="0"/>
    <pivotField axis="axisRow" showAll="0">
      <items count="8">
        <item x="1"/>
        <item x="5"/>
        <item x="2"/>
        <item x="3"/>
        <item x="4"/>
        <item x="0"/>
        <item h="1" x="6"/>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7">
    <i>
      <x/>
    </i>
    <i>
      <x v="1"/>
    </i>
    <i>
      <x v="2"/>
    </i>
    <i>
      <x v="3"/>
    </i>
    <i>
      <x v="4"/>
    </i>
    <i>
      <x v="5"/>
    </i>
    <i t="grand">
      <x/>
    </i>
  </rowItems>
  <colItems count="1">
    <i/>
  </colItems>
  <dataFields count="1">
    <dataField name="Sum of Profit" fld="1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F2187-75F1-402C-8BFF-8F37EE1446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9" firstHeaderRow="1" firstDataRow="1" firstDataCol="1"/>
  <pivotFields count="16">
    <pivotField showAll="0"/>
    <pivotField showAll="0">
      <items count="124">
        <item x="71"/>
        <item x="2"/>
        <item x="49"/>
        <item x="82"/>
        <item x="121"/>
        <item x="108"/>
        <item x="32"/>
        <item x="21"/>
        <item x="23"/>
        <item x="62"/>
        <item x="35"/>
        <item x="115"/>
        <item x="100"/>
        <item x="3"/>
        <item x="92"/>
        <item x="28"/>
        <item x="83"/>
        <item x="48"/>
        <item x="58"/>
        <item x="43"/>
        <item x="60"/>
        <item x="30"/>
        <item x="10"/>
        <item x="75"/>
        <item x="109"/>
        <item x="79"/>
        <item x="73"/>
        <item x="99"/>
        <item x="68"/>
        <item x="116"/>
        <item x="56"/>
        <item x="29"/>
        <item x="91"/>
        <item x="95"/>
        <item x="0"/>
        <item x="1"/>
        <item x="33"/>
        <item x="54"/>
        <item x="34"/>
        <item x="67"/>
        <item x="36"/>
        <item x="66"/>
        <item x="72"/>
        <item x="113"/>
        <item x="84"/>
        <item x="89"/>
        <item x="27"/>
        <item x="44"/>
        <item x="5"/>
        <item x="120"/>
        <item x="105"/>
        <item x="8"/>
        <item x="117"/>
        <item x="96"/>
        <item x="19"/>
        <item x="119"/>
        <item x="111"/>
        <item x="103"/>
        <item x="76"/>
        <item x="104"/>
        <item x="94"/>
        <item x="114"/>
        <item x="51"/>
        <item x="107"/>
        <item x="4"/>
        <item x="11"/>
        <item x="118"/>
        <item x="70"/>
        <item x="47"/>
        <item x="69"/>
        <item x="77"/>
        <item x="86"/>
        <item x="46"/>
        <item x="37"/>
        <item x="57"/>
        <item x="93"/>
        <item x="9"/>
        <item x="7"/>
        <item x="65"/>
        <item x="20"/>
        <item x="25"/>
        <item x="53"/>
        <item x="55"/>
        <item x="97"/>
        <item x="13"/>
        <item x="41"/>
        <item x="59"/>
        <item x="14"/>
        <item x="80"/>
        <item x="38"/>
        <item x="22"/>
        <item x="112"/>
        <item x="16"/>
        <item x="18"/>
        <item x="24"/>
        <item x="88"/>
        <item x="26"/>
        <item x="15"/>
        <item x="61"/>
        <item x="98"/>
        <item x="40"/>
        <item x="63"/>
        <item x="78"/>
        <item x="101"/>
        <item x="85"/>
        <item x="110"/>
        <item x="102"/>
        <item x="50"/>
        <item x="52"/>
        <item x="90"/>
        <item x="12"/>
        <item x="74"/>
        <item x="17"/>
        <item x="42"/>
        <item x="64"/>
        <item x="39"/>
        <item x="6"/>
        <item x="87"/>
        <item x="81"/>
        <item x="31"/>
        <item x="106"/>
        <item x="45"/>
        <item x="122"/>
        <item t="default"/>
      </items>
    </pivotField>
    <pivotField axis="axisRow" showAll="0">
      <items count="6">
        <item x="1"/>
        <item x="2"/>
        <item x="3"/>
        <item x="0"/>
        <item x="4"/>
        <item t="default"/>
      </items>
    </pivotField>
    <pivotField showAll="0">
      <items count="8">
        <item x="2"/>
        <item x="0"/>
        <item x="5"/>
        <item x="3"/>
        <item x="1"/>
        <item x="4"/>
        <item x="6"/>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Profit" fld="12"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2319AB-2DC3-4F07-9605-116D32B0EBB0}" autoFormatId="16" applyNumberFormats="0" applyBorderFormats="0" applyFontFormats="0" applyPatternFormats="0" applyAlignmentFormats="0" applyWidthHeightFormats="0">
  <queryTableRefresh nextId="15">
    <queryTableFields count="14">
      <queryTableField id="1" name="Order_ID" tableColumnId="15"/>
      <queryTableField id="2" name="Order_Date" tableColumnId="2"/>
      <queryTableField id="3" name="Region" tableColumnId="3"/>
      <queryTableField id="4" name="State" tableColumnId="4"/>
      <queryTableField id="5" name="City" tableColumnId="5"/>
      <queryTableField id="6" name="Product_Category" tableColumnId="6"/>
      <queryTableField id="7" name="Product_Name" tableColumnId="7"/>
      <queryTableField id="8" name="Sales_Rep" tableColumnId="8"/>
      <queryTableField id="9" name="Quantity" tableColumnId="9"/>
      <queryTableField id="10" name="Unit_Price" tableColumnId="10"/>
      <queryTableField id="11" name="Revenue" tableColumnId="11"/>
      <queryTableField id="12" name="Cost" tableColumnId="12"/>
      <queryTableField id="13" name="Profit" tableColumnId="13"/>
      <queryTableField id="14" name="Customer_Typ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DDC1C7-D023-42BF-83D4-72A54BAE80B0}" sourceName="Region">
  <pivotTables>
    <pivotTable tabId="3" name="PivotTable1"/>
    <pivotTable tabId="3" name="PivotTable2"/>
    <pivotTable tabId="3" name="PivotTable3"/>
    <pivotTable tabId="3" name="PivotTable4"/>
  </pivotTables>
  <data>
    <tabular pivotCacheId="242933701">
      <items count="5">
        <i x="1" s="1"/>
        <i x="2" s="1"/>
        <i x="3"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C0F78C3-DD70-42C0-8770-EB4372499EF9}" sourceName="Product_Category">
  <pivotTables>
    <pivotTable tabId="3" name="PivotTable1"/>
    <pivotTable tabId="3" name="PivotTable2"/>
    <pivotTable tabId="3" name="PivotTable3"/>
    <pivotTable tabId="3" name="PivotTable4"/>
  </pivotTables>
  <data>
    <tabular pivotCacheId="242933701">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3104CDA-A7A2-480F-9FB6-B4276C1041B0}" sourceName="Sales_Rep">
  <pivotTables>
    <pivotTable tabId="3" name="PivotTable1"/>
  </pivotTables>
  <data>
    <tabular pivotCacheId="242933701">
      <items count="7">
        <i x="1" s="1"/>
        <i x="5" s="1"/>
        <i x="2" s="1"/>
        <i x="3" s="1"/>
        <i x="4" s="1"/>
        <i x="0"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DEA19DF-828A-47E3-B6B6-648ABE98A61D}" sourceName="Customer_Type">
  <pivotTables>
    <pivotTable tabId="3" name="PivotTable1"/>
  </pivotTables>
  <data>
    <tabular pivotCacheId="24293370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150E4E-2A81-4A50-B3E6-73DB377EC46F}" cache="Slicer_Region" caption="Region" rowHeight="234950"/>
  <slicer name="Product_Category" xr10:uid="{8BB43131-BAF5-40C9-A801-21CF7F9E62A3}" cache="Slicer_Product_Category" caption="Product_Category" rowHeight="234950"/>
  <slicer name="Sales_Rep" xr10:uid="{4C35AC80-7EEC-4F86-9481-F6C6AE7B80C3}" cache="Slicer_Sales_Rep" caption="Sales_Rep" rowHeight="234950"/>
  <slicer name="Customer_Type" xr10:uid="{40D2D0CA-13BE-424F-B4EE-E652C14A61E6}" cache="Slicer_Customer_Type" caption="Customer_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D84A5E-4ECE-490F-8B5C-43DE9D725274}" name="Sheet1" displayName="Sheet1" ref="A1:N202" tableType="queryTable" totalsRowShown="0" headerRowDxfId="15" dataDxfId="14">
  <autoFilter ref="A1:N202" xr:uid="{E2D84A5E-4ECE-490F-8B5C-43DE9D725274}"/>
  <tableColumns count="14">
    <tableColumn id="15" xr3:uid="{E1B0A7D1-FA98-4499-98CF-73C57595E935}" uniqueName="15" name="Order_ID" queryTableFieldId="1" dataDxfId="13"/>
    <tableColumn id="2" xr3:uid="{34270732-8284-458B-8436-342715B61721}" uniqueName="2" name="Order_Date" queryTableFieldId="2" dataDxfId="12"/>
    <tableColumn id="3" xr3:uid="{EAF548D7-15FD-415F-B478-B7CDF6121488}" uniqueName="3" name="Region" queryTableFieldId="3" dataDxfId="11"/>
    <tableColumn id="4" xr3:uid="{D2E55C9F-6664-4042-94A4-97B4002BA50D}" uniqueName="4" name="State" queryTableFieldId="4" dataDxfId="10"/>
    <tableColumn id="5" xr3:uid="{1C2E2DBD-57D3-49E2-B585-04BC953389CC}" uniqueName="5" name="City" queryTableFieldId="5" dataDxfId="9"/>
    <tableColumn id="6" xr3:uid="{3172F5D2-97F7-4232-8587-063E856426DD}" uniqueName="6" name="Product_Category" queryTableFieldId="6" dataDxfId="8"/>
    <tableColumn id="7" xr3:uid="{8847B37F-A460-461E-AF3F-7FF9775F7BD6}" uniqueName="7" name="Product_Name" queryTableFieldId="7" dataDxfId="7"/>
    <tableColumn id="8" xr3:uid="{4B44EF78-FB58-4891-BDDC-DD022BE52F54}" uniqueName="8" name="Sales_Rep" queryTableFieldId="8" dataDxfId="6"/>
    <tableColumn id="9" xr3:uid="{762CB9EF-F494-4DCB-8BC8-E836686E3994}" uniqueName="9" name="Quantity" queryTableFieldId="9" dataDxfId="5"/>
    <tableColumn id="10" xr3:uid="{26C9CD24-463C-4236-9A9E-89EA07FC875E}" uniqueName="10" name="Unit_Price" queryTableFieldId="10" dataDxfId="4"/>
    <tableColumn id="11" xr3:uid="{2EBF52E9-1AE3-4438-AF34-13E95E4ACB52}" uniqueName="11" name="Revenue" queryTableFieldId="11" dataDxfId="3"/>
    <tableColumn id="12" xr3:uid="{E254E6D9-9F79-4FB9-9327-06602E506332}" uniqueName="12" name="Cost" queryTableFieldId="12" dataDxfId="2"/>
    <tableColumn id="13" xr3:uid="{99C5AF21-BBBD-493B-A088-E432BCF25C23}" uniqueName="13" name="Profit" queryTableFieldId="13" dataDxfId="1"/>
    <tableColumn id="14" xr3:uid="{E8A3B499-87D7-4FAA-836E-38B41BAE425F}" uniqueName="14" name="Customer_Type" queryTableFieldId="14" dataDxfId="0"/>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workbookViewId="0">
      <selection activeCell="Q11" sqref="Q11"/>
    </sheetView>
  </sheetViews>
  <sheetFormatPr defaultRowHeight="14.4" x14ac:dyDescent="0.3"/>
  <cols>
    <col min="1" max="1" width="8.5546875" bestFit="1" customWidth="1"/>
    <col min="2" max="2" width="18.109375" bestFit="1" customWidth="1"/>
    <col min="3" max="3" width="6.77734375" bestFit="1" customWidth="1"/>
    <col min="4" max="4" width="11.44140625" bestFit="1" customWidth="1"/>
    <col min="5" max="5" width="10.6640625" bestFit="1" customWidth="1"/>
    <col min="6" max="6" width="16.33203125" bestFit="1" customWidth="1"/>
    <col min="7" max="7" width="13.77734375" bestFit="1" customWidth="1"/>
    <col min="8" max="8" width="9.44140625" bestFit="1" customWidth="1"/>
    <col min="9" max="9" width="8.33203125" bestFit="1" customWidth="1"/>
    <col min="10" max="10" width="9.6640625" bestFit="1" customWidth="1"/>
    <col min="11" max="11" width="8.33203125" bestFit="1" customWidth="1"/>
    <col min="12" max="13" width="10" bestFit="1" customWidth="1"/>
    <col min="14" max="14" width="14.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1001</v>
      </c>
      <c r="B2" s="2">
        <v>45349</v>
      </c>
      <c r="C2" t="s">
        <v>14</v>
      </c>
      <c r="D2" t="s">
        <v>18</v>
      </c>
      <c r="E2" t="s">
        <v>24</v>
      </c>
      <c r="F2" t="s">
        <v>29</v>
      </c>
      <c r="G2" t="s">
        <v>32</v>
      </c>
      <c r="H2" t="s">
        <v>44</v>
      </c>
      <c r="I2">
        <v>1</v>
      </c>
      <c r="J2">
        <v>49098</v>
      </c>
      <c r="K2">
        <v>49098</v>
      </c>
      <c r="L2">
        <v>32834.65</v>
      </c>
      <c r="M2">
        <v>16263.35</v>
      </c>
      <c r="N2" t="s">
        <v>50</v>
      </c>
    </row>
    <row r="3" spans="1:14" x14ac:dyDescent="0.3">
      <c r="A3">
        <v>1002</v>
      </c>
      <c r="B3" s="2">
        <v>45351</v>
      </c>
      <c r="C3" t="s">
        <v>15</v>
      </c>
      <c r="D3" t="s">
        <v>19</v>
      </c>
      <c r="E3" t="s">
        <v>25</v>
      </c>
      <c r="F3" t="s">
        <v>29</v>
      </c>
      <c r="G3" t="s">
        <v>33</v>
      </c>
      <c r="H3" t="s">
        <v>44</v>
      </c>
      <c r="I3">
        <v>1</v>
      </c>
      <c r="J3">
        <v>2452</v>
      </c>
      <c r="K3">
        <v>2452</v>
      </c>
      <c r="L3">
        <v>1528.64</v>
      </c>
      <c r="M3">
        <v>923.36</v>
      </c>
      <c r="N3" t="s">
        <v>51</v>
      </c>
    </row>
    <row r="4" spans="1:14" x14ac:dyDescent="0.3">
      <c r="A4">
        <v>1003</v>
      </c>
      <c r="B4" s="2">
        <v>45293</v>
      </c>
      <c r="C4" t="s">
        <v>14</v>
      </c>
      <c r="D4" t="s">
        <v>18</v>
      </c>
      <c r="E4" t="s">
        <v>26</v>
      </c>
      <c r="F4" t="s">
        <v>30</v>
      </c>
      <c r="G4" t="s">
        <v>34</v>
      </c>
      <c r="H4" t="s">
        <v>45</v>
      </c>
      <c r="I4">
        <v>10</v>
      </c>
      <c r="J4">
        <v>18731</v>
      </c>
      <c r="K4">
        <v>187310</v>
      </c>
      <c r="L4">
        <v>150289.60000000001</v>
      </c>
      <c r="M4">
        <v>37020.400000000001</v>
      </c>
      <c r="N4" t="s">
        <v>51</v>
      </c>
    </row>
    <row r="5" spans="1:14" x14ac:dyDescent="0.3">
      <c r="A5">
        <v>1004</v>
      </c>
      <c r="B5" s="2">
        <v>45316</v>
      </c>
      <c r="C5" t="s">
        <v>16</v>
      </c>
      <c r="D5" t="s">
        <v>20</v>
      </c>
      <c r="E5" t="s">
        <v>27</v>
      </c>
      <c r="F5" t="s">
        <v>30</v>
      </c>
      <c r="G5" t="s">
        <v>35</v>
      </c>
      <c r="H5" t="s">
        <v>45</v>
      </c>
      <c r="I5">
        <v>6</v>
      </c>
      <c r="J5">
        <v>7198</v>
      </c>
      <c r="K5">
        <v>43188</v>
      </c>
      <c r="L5">
        <v>26914.18</v>
      </c>
      <c r="M5">
        <v>16273.82</v>
      </c>
      <c r="N5" t="s">
        <v>50</v>
      </c>
    </row>
    <row r="6" spans="1:14" x14ac:dyDescent="0.3">
      <c r="A6">
        <v>1005</v>
      </c>
      <c r="B6" s="2">
        <v>45388</v>
      </c>
      <c r="C6" t="s">
        <v>15</v>
      </c>
      <c r="D6" t="s">
        <v>19</v>
      </c>
      <c r="E6" t="s">
        <v>20</v>
      </c>
      <c r="F6" t="s">
        <v>29</v>
      </c>
      <c r="G6" t="s">
        <v>33</v>
      </c>
      <c r="H6" t="s">
        <v>44</v>
      </c>
      <c r="I6">
        <v>9</v>
      </c>
      <c r="J6">
        <v>8680</v>
      </c>
      <c r="K6">
        <v>78120</v>
      </c>
      <c r="L6">
        <v>65876.95</v>
      </c>
      <c r="M6">
        <v>12243.05</v>
      </c>
      <c r="N6" t="s">
        <v>51</v>
      </c>
    </row>
    <row r="7" spans="1:14" x14ac:dyDescent="0.3">
      <c r="A7">
        <v>1006</v>
      </c>
      <c r="B7" s="2">
        <v>45366</v>
      </c>
      <c r="C7" t="s">
        <v>15</v>
      </c>
      <c r="D7" t="s">
        <v>21</v>
      </c>
      <c r="E7" t="s">
        <v>24</v>
      </c>
      <c r="F7" t="s">
        <v>29</v>
      </c>
      <c r="G7" t="s">
        <v>36</v>
      </c>
      <c r="H7" t="s">
        <v>46</v>
      </c>
      <c r="I7">
        <v>2</v>
      </c>
      <c r="J7">
        <v>3503</v>
      </c>
      <c r="K7">
        <v>7006</v>
      </c>
      <c r="L7">
        <v>5361.8</v>
      </c>
      <c r="M7">
        <v>1644.2</v>
      </c>
      <c r="N7" t="s">
        <v>51</v>
      </c>
    </row>
    <row r="8" spans="1:14" x14ac:dyDescent="0.3">
      <c r="A8">
        <v>1007</v>
      </c>
      <c r="B8" s="2">
        <v>45463</v>
      </c>
      <c r="C8" t="s">
        <v>16</v>
      </c>
      <c r="D8" t="s">
        <v>18</v>
      </c>
      <c r="E8" t="s">
        <v>28</v>
      </c>
      <c r="F8" t="s">
        <v>31</v>
      </c>
      <c r="G8" t="s">
        <v>37</v>
      </c>
      <c r="H8" t="s">
        <v>44</v>
      </c>
      <c r="I8">
        <v>3</v>
      </c>
      <c r="J8">
        <v>24760</v>
      </c>
      <c r="K8">
        <v>74280</v>
      </c>
      <c r="L8">
        <v>51165.38</v>
      </c>
      <c r="M8">
        <v>23114.62</v>
      </c>
      <c r="N8" t="s">
        <v>50</v>
      </c>
    </row>
    <row r="9" spans="1:14" x14ac:dyDescent="0.3">
      <c r="A9">
        <v>1008</v>
      </c>
      <c r="B9" s="2">
        <v>45410</v>
      </c>
      <c r="C9" t="s">
        <v>17</v>
      </c>
      <c r="D9" t="s">
        <v>20</v>
      </c>
      <c r="E9" t="s">
        <v>28</v>
      </c>
      <c r="F9" t="s">
        <v>29</v>
      </c>
      <c r="G9" t="s">
        <v>36</v>
      </c>
      <c r="H9" t="s">
        <v>44</v>
      </c>
      <c r="I9">
        <v>9</v>
      </c>
      <c r="J9">
        <v>48284</v>
      </c>
      <c r="K9">
        <v>434556</v>
      </c>
      <c r="L9">
        <v>287329.61</v>
      </c>
      <c r="M9">
        <v>147226.39000000001</v>
      </c>
      <c r="N9" t="s">
        <v>50</v>
      </c>
    </row>
    <row r="10" spans="1:14" x14ac:dyDescent="0.3">
      <c r="A10">
        <v>1009</v>
      </c>
      <c r="B10" s="2">
        <v>45372</v>
      </c>
      <c r="C10" t="s">
        <v>17</v>
      </c>
      <c r="D10" t="s">
        <v>20</v>
      </c>
      <c r="E10" t="s">
        <v>24</v>
      </c>
      <c r="F10" t="s">
        <v>29</v>
      </c>
      <c r="G10" t="s">
        <v>38</v>
      </c>
      <c r="H10" t="s">
        <v>47</v>
      </c>
      <c r="I10">
        <v>1</v>
      </c>
      <c r="J10">
        <v>15510</v>
      </c>
      <c r="K10">
        <v>15510</v>
      </c>
      <c r="L10">
        <v>12492.54</v>
      </c>
      <c r="M10">
        <v>3017.46</v>
      </c>
      <c r="N10" t="s">
        <v>51</v>
      </c>
    </row>
    <row r="11" spans="1:14" x14ac:dyDescent="0.3">
      <c r="A11">
        <v>1010</v>
      </c>
      <c r="B11" s="2">
        <v>45409</v>
      </c>
      <c r="C11" t="s">
        <v>14</v>
      </c>
      <c r="D11" t="s">
        <v>20</v>
      </c>
      <c r="E11" t="s">
        <v>25</v>
      </c>
      <c r="F11" t="s">
        <v>30</v>
      </c>
      <c r="G11" t="s">
        <v>34</v>
      </c>
      <c r="H11" t="s">
        <v>47</v>
      </c>
      <c r="I11">
        <v>7</v>
      </c>
      <c r="J11">
        <v>58478</v>
      </c>
      <c r="K11">
        <v>409346</v>
      </c>
      <c r="L11">
        <v>339199.2</v>
      </c>
      <c r="M11">
        <v>70146.8</v>
      </c>
      <c r="N11" t="s">
        <v>51</v>
      </c>
    </row>
    <row r="12" spans="1:14" x14ac:dyDescent="0.3">
      <c r="A12">
        <v>1011</v>
      </c>
      <c r="B12" s="2">
        <v>45327</v>
      </c>
      <c r="C12" t="s">
        <v>17</v>
      </c>
      <c r="D12" t="s">
        <v>22</v>
      </c>
      <c r="E12" t="s">
        <v>24</v>
      </c>
      <c r="F12" t="s">
        <v>29</v>
      </c>
      <c r="G12" t="s">
        <v>33</v>
      </c>
      <c r="H12" t="s">
        <v>48</v>
      </c>
      <c r="I12">
        <v>10</v>
      </c>
      <c r="J12">
        <v>26675</v>
      </c>
      <c r="K12">
        <v>266750</v>
      </c>
      <c r="L12">
        <v>184190.64</v>
      </c>
      <c r="M12">
        <v>82559.360000000001</v>
      </c>
      <c r="N12" t="s">
        <v>50</v>
      </c>
    </row>
    <row r="13" spans="1:14" x14ac:dyDescent="0.3">
      <c r="A13">
        <v>1012</v>
      </c>
      <c r="B13" s="2">
        <v>45389</v>
      </c>
      <c r="C13" t="s">
        <v>17</v>
      </c>
      <c r="D13" t="s">
        <v>19</v>
      </c>
      <c r="E13" t="s">
        <v>20</v>
      </c>
      <c r="F13" t="s">
        <v>29</v>
      </c>
      <c r="G13" t="s">
        <v>36</v>
      </c>
      <c r="H13" t="s">
        <v>49</v>
      </c>
      <c r="I13">
        <v>7</v>
      </c>
      <c r="J13">
        <v>39586</v>
      </c>
      <c r="K13">
        <v>277102</v>
      </c>
      <c r="L13">
        <v>170662.11</v>
      </c>
      <c r="M13">
        <v>106439.89</v>
      </c>
      <c r="N13" t="s">
        <v>50</v>
      </c>
    </row>
    <row r="14" spans="1:14" x14ac:dyDescent="0.3">
      <c r="A14">
        <v>1013</v>
      </c>
      <c r="B14" s="2">
        <v>45456</v>
      </c>
      <c r="C14" t="s">
        <v>16</v>
      </c>
      <c r="D14" t="s">
        <v>22</v>
      </c>
      <c r="E14" t="s">
        <v>20</v>
      </c>
      <c r="F14" t="s">
        <v>29</v>
      </c>
      <c r="G14" t="s">
        <v>32</v>
      </c>
      <c r="H14" t="s">
        <v>46</v>
      </c>
      <c r="I14">
        <v>9</v>
      </c>
      <c r="J14">
        <v>49709</v>
      </c>
      <c r="K14">
        <v>447381</v>
      </c>
      <c r="L14">
        <v>298271.73</v>
      </c>
      <c r="M14">
        <v>149109.26999999999</v>
      </c>
      <c r="N14" t="s">
        <v>50</v>
      </c>
    </row>
    <row r="15" spans="1:14" x14ac:dyDescent="0.3">
      <c r="A15">
        <v>1014</v>
      </c>
      <c r="B15" s="2">
        <v>45421</v>
      </c>
      <c r="C15" t="s">
        <v>15</v>
      </c>
      <c r="D15" t="s">
        <v>18</v>
      </c>
      <c r="E15" t="s">
        <v>20</v>
      </c>
      <c r="F15" t="s">
        <v>31</v>
      </c>
      <c r="G15" t="s">
        <v>39</v>
      </c>
      <c r="H15" t="s">
        <v>44</v>
      </c>
      <c r="I15">
        <v>5</v>
      </c>
      <c r="J15">
        <v>33306</v>
      </c>
      <c r="K15">
        <v>166530</v>
      </c>
      <c r="L15">
        <v>131640.39000000001</v>
      </c>
      <c r="M15">
        <v>34889.61</v>
      </c>
      <c r="N15" t="s">
        <v>50</v>
      </c>
    </row>
    <row r="16" spans="1:14" x14ac:dyDescent="0.3">
      <c r="A16">
        <v>1015</v>
      </c>
      <c r="B16" s="2">
        <v>45427</v>
      </c>
      <c r="C16" t="s">
        <v>15</v>
      </c>
      <c r="D16" t="s">
        <v>19</v>
      </c>
      <c r="E16" t="s">
        <v>20</v>
      </c>
      <c r="F16" t="s">
        <v>30</v>
      </c>
      <c r="G16" t="s">
        <v>40</v>
      </c>
      <c r="H16" t="s">
        <v>46</v>
      </c>
      <c r="I16">
        <v>3</v>
      </c>
      <c r="J16">
        <v>35848</v>
      </c>
      <c r="K16">
        <v>107544</v>
      </c>
      <c r="L16">
        <v>90162.19</v>
      </c>
      <c r="M16">
        <v>17381.810000000001</v>
      </c>
      <c r="N16" t="s">
        <v>50</v>
      </c>
    </row>
    <row r="17" spans="1:14" x14ac:dyDescent="0.3">
      <c r="A17">
        <v>1016</v>
      </c>
      <c r="B17" s="2">
        <v>45437</v>
      </c>
      <c r="C17" t="s">
        <v>15</v>
      </c>
      <c r="D17" t="s">
        <v>22</v>
      </c>
      <c r="E17" t="s">
        <v>28</v>
      </c>
      <c r="F17" t="s">
        <v>30</v>
      </c>
      <c r="G17" t="s">
        <v>40</v>
      </c>
      <c r="H17" t="s">
        <v>46</v>
      </c>
      <c r="I17">
        <v>5</v>
      </c>
      <c r="J17">
        <v>16192</v>
      </c>
      <c r="K17">
        <v>80960</v>
      </c>
      <c r="L17">
        <v>49748.41</v>
      </c>
      <c r="M17">
        <v>31211.59</v>
      </c>
      <c r="N17" t="s">
        <v>50</v>
      </c>
    </row>
    <row r="18" spans="1:14" x14ac:dyDescent="0.3">
      <c r="A18">
        <v>1017</v>
      </c>
      <c r="B18" s="2">
        <v>45432</v>
      </c>
      <c r="C18" t="s">
        <v>14</v>
      </c>
      <c r="D18" t="s">
        <v>20</v>
      </c>
      <c r="E18" t="s">
        <v>27</v>
      </c>
      <c r="F18" t="s">
        <v>29</v>
      </c>
      <c r="G18" t="s">
        <v>36</v>
      </c>
      <c r="H18" t="s">
        <v>49</v>
      </c>
      <c r="I18">
        <v>3</v>
      </c>
      <c r="J18">
        <v>43737</v>
      </c>
      <c r="K18">
        <v>131211</v>
      </c>
      <c r="L18">
        <v>94317.17</v>
      </c>
      <c r="M18">
        <v>36893.83</v>
      </c>
      <c r="N18" t="s">
        <v>51</v>
      </c>
    </row>
    <row r="19" spans="1:14" x14ac:dyDescent="0.3">
      <c r="A19">
        <v>1018</v>
      </c>
      <c r="B19" s="2">
        <v>45458</v>
      </c>
      <c r="C19" t="s">
        <v>16</v>
      </c>
      <c r="D19" t="s">
        <v>23</v>
      </c>
      <c r="E19" t="s">
        <v>27</v>
      </c>
      <c r="F19" t="s">
        <v>30</v>
      </c>
      <c r="G19" t="s">
        <v>35</v>
      </c>
      <c r="H19" t="s">
        <v>46</v>
      </c>
      <c r="I19">
        <v>5</v>
      </c>
      <c r="J19">
        <v>26648</v>
      </c>
      <c r="K19">
        <v>133240</v>
      </c>
      <c r="L19">
        <v>113092.43</v>
      </c>
      <c r="M19">
        <v>20147.57</v>
      </c>
      <c r="N19" t="s">
        <v>50</v>
      </c>
    </row>
    <row r="20" spans="1:14" x14ac:dyDescent="0.3">
      <c r="A20">
        <v>1019</v>
      </c>
      <c r="B20" s="2">
        <v>45433</v>
      </c>
      <c r="C20" t="s">
        <v>14</v>
      </c>
      <c r="D20" t="s">
        <v>19</v>
      </c>
      <c r="E20" t="s">
        <v>25</v>
      </c>
      <c r="F20" t="s">
        <v>30</v>
      </c>
      <c r="G20" t="s">
        <v>35</v>
      </c>
      <c r="H20" t="s">
        <v>48</v>
      </c>
      <c r="I20">
        <v>2</v>
      </c>
      <c r="J20">
        <v>22656</v>
      </c>
      <c r="K20">
        <v>45312</v>
      </c>
      <c r="L20">
        <v>27425.48</v>
      </c>
      <c r="M20">
        <v>17886.52</v>
      </c>
      <c r="N20" t="s">
        <v>50</v>
      </c>
    </row>
    <row r="21" spans="1:14" x14ac:dyDescent="0.3">
      <c r="A21">
        <v>1020</v>
      </c>
      <c r="B21" s="2">
        <v>45376</v>
      </c>
      <c r="C21" t="s">
        <v>15</v>
      </c>
      <c r="D21" t="s">
        <v>19</v>
      </c>
      <c r="E21" t="s">
        <v>25</v>
      </c>
      <c r="F21" t="s">
        <v>29</v>
      </c>
      <c r="G21" t="s">
        <v>32</v>
      </c>
      <c r="H21" t="s">
        <v>45</v>
      </c>
      <c r="I21">
        <v>4</v>
      </c>
      <c r="J21">
        <v>4917</v>
      </c>
      <c r="K21">
        <v>19668</v>
      </c>
      <c r="L21">
        <v>16252.75</v>
      </c>
      <c r="M21">
        <v>3415.25</v>
      </c>
      <c r="N21" t="s">
        <v>51</v>
      </c>
    </row>
    <row r="22" spans="1:14" x14ac:dyDescent="0.3">
      <c r="A22">
        <v>1021</v>
      </c>
      <c r="B22" s="2">
        <v>45413</v>
      </c>
      <c r="C22" t="s">
        <v>17</v>
      </c>
      <c r="D22" t="s">
        <v>21</v>
      </c>
      <c r="E22" t="s">
        <v>24</v>
      </c>
      <c r="F22" t="s">
        <v>30</v>
      </c>
      <c r="G22" t="s">
        <v>35</v>
      </c>
      <c r="H22" t="s">
        <v>48</v>
      </c>
      <c r="I22">
        <v>10</v>
      </c>
      <c r="J22">
        <v>38262</v>
      </c>
      <c r="K22">
        <v>382620</v>
      </c>
      <c r="L22">
        <v>274785.34999999998</v>
      </c>
      <c r="M22">
        <v>107834.65</v>
      </c>
      <c r="N22" t="s">
        <v>51</v>
      </c>
    </row>
    <row r="23" spans="1:14" x14ac:dyDescent="0.3">
      <c r="A23">
        <v>1022</v>
      </c>
      <c r="B23" s="2">
        <v>45305</v>
      </c>
      <c r="C23" t="s">
        <v>15</v>
      </c>
      <c r="D23" t="s">
        <v>22</v>
      </c>
      <c r="E23" t="s">
        <v>26</v>
      </c>
      <c r="F23" t="s">
        <v>31</v>
      </c>
      <c r="G23" t="s">
        <v>41</v>
      </c>
      <c r="H23" t="s">
        <v>44</v>
      </c>
      <c r="I23">
        <v>7</v>
      </c>
      <c r="J23">
        <v>31106</v>
      </c>
      <c r="K23">
        <v>217742</v>
      </c>
      <c r="L23">
        <v>177668.59</v>
      </c>
      <c r="M23">
        <v>40073.410000000003</v>
      </c>
      <c r="N23" t="s">
        <v>51</v>
      </c>
    </row>
    <row r="24" spans="1:14" x14ac:dyDescent="0.3">
      <c r="A24">
        <v>1023</v>
      </c>
      <c r="B24" s="2">
        <v>45327</v>
      </c>
      <c r="C24" t="s">
        <v>17</v>
      </c>
      <c r="D24" t="s">
        <v>21</v>
      </c>
      <c r="E24" t="s">
        <v>20</v>
      </c>
      <c r="F24" t="s">
        <v>30</v>
      </c>
      <c r="G24" t="s">
        <v>35</v>
      </c>
      <c r="H24" t="s">
        <v>46</v>
      </c>
      <c r="I24">
        <v>4</v>
      </c>
      <c r="J24">
        <v>12965</v>
      </c>
      <c r="K24">
        <v>51860</v>
      </c>
      <c r="L24">
        <v>38068.94</v>
      </c>
      <c r="M24">
        <v>13791.06</v>
      </c>
      <c r="N24" t="s">
        <v>50</v>
      </c>
    </row>
    <row r="25" spans="1:14" x14ac:dyDescent="0.3">
      <c r="A25">
        <v>1024</v>
      </c>
      <c r="B25" s="2">
        <v>45430</v>
      </c>
      <c r="C25" t="s">
        <v>15</v>
      </c>
      <c r="D25" t="s">
        <v>22</v>
      </c>
      <c r="E25" t="s">
        <v>25</v>
      </c>
      <c r="F25" t="s">
        <v>30</v>
      </c>
      <c r="G25" t="s">
        <v>34</v>
      </c>
      <c r="H25" t="s">
        <v>47</v>
      </c>
      <c r="I25">
        <v>9</v>
      </c>
      <c r="J25">
        <v>6916</v>
      </c>
      <c r="K25">
        <v>62244</v>
      </c>
      <c r="L25">
        <v>38133.599999999999</v>
      </c>
      <c r="M25">
        <v>24110.400000000001</v>
      </c>
      <c r="N25" t="s">
        <v>51</v>
      </c>
    </row>
    <row r="26" spans="1:14" x14ac:dyDescent="0.3">
      <c r="A26">
        <v>1025</v>
      </c>
      <c r="B26" s="2">
        <v>45307</v>
      </c>
      <c r="C26" t="s">
        <v>14</v>
      </c>
      <c r="D26" t="s">
        <v>23</v>
      </c>
      <c r="E26" t="s">
        <v>24</v>
      </c>
      <c r="F26" t="s">
        <v>31</v>
      </c>
      <c r="G26" t="s">
        <v>41</v>
      </c>
      <c r="H26" t="s">
        <v>46</v>
      </c>
      <c r="I26">
        <v>4</v>
      </c>
      <c r="J26">
        <v>57165</v>
      </c>
      <c r="K26">
        <v>228660</v>
      </c>
      <c r="L26">
        <v>160121.47</v>
      </c>
      <c r="M26">
        <v>68538.53</v>
      </c>
      <c r="N26" t="s">
        <v>51</v>
      </c>
    </row>
    <row r="27" spans="1:14" x14ac:dyDescent="0.3">
      <c r="A27">
        <v>1026</v>
      </c>
      <c r="B27" s="2">
        <v>45434</v>
      </c>
      <c r="C27" t="s">
        <v>17</v>
      </c>
      <c r="D27" t="s">
        <v>21</v>
      </c>
      <c r="E27" t="s">
        <v>25</v>
      </c>
      <c r="F27" t="s">
        <v>31</v>
      </c>
      <c r="G27" t="s">
        <v>37</v>
      </c>
      <c r="H27" t="s">
        <v>45</v>
      </c>
      <c r="I27">
        <v>7</v>
      </c>
      <c r="J27">
        <v>46151</v>
      </c>
      <c r="K27">
        <v>323057</v>
      </c>
      <c r="L27">
        <v>271151.24</v>
      </c>
      <c r="M27">
        <v>51905.760000000002</v>
      </c>
      <c r="N27" t="s">
        <v>50</v>
      </c>
    </row>
    <row r="28" spans="1:14" x14ac:dyDescent="0.3">
      <c r="A28">
        <v>1027</v>
      </c>
      <c r="B28" s="2">
        <v>45414</v>
      </c>
      <c r="C28" t="s">
        <v>14</v>
      </c>
      <c r="D28" t="s">
        <v>22</v>
      </c>
      <c r="E28" t="s">
        <v>27</v>
      </c>
      <c r="F28" t="s">
        <v>30</v>
      </c>
      <c r="G28" t="s">
        <v>42</v>
      </c>
      <c r="H28" t="s">
        <v>48</v>
      </c>
      <c r="I28">
        <v>6</v>
      </c>
      <c r="J28">
        <v>4246</v>
      </c>
      <c r="K28">
        <v>25476</v>
      </c>
      <c r="L28">
        <v>15604.96</v>
      </c>
      <c r="M28">
        <v>9871.0400000000009</v>
      </c>
      <c r="N28" t="s">
        <v>50</v>
      </c>
    </row>
    <row r="29" spans="1:14" x14ac:dyDescent="0.3">
      <c r="A29">
        <v>1028</v>
      </c>
      <c r="B29" s="2">
        <v>45437</v>
      </c>
      <c r="C29" t="s">
        <v>14</v>
      </c>
      <c r="D29" t="s">
        <v>19</v>
      </c>
      <c r="E29" t="s">
        <v>27</v>
      </c>
      <c r="F29" t="s">
        <v>30</v>
      </c>
      <c r="G29" t="s">
        <v>42</v>
      </c>
      <c r="H29" t="s">
        <v>48</v>
      </c>
      <c r="I29">
        <v>4</v>
      </c>
      <c r="J29">
        <v>26961</v>
      </c>
      <c r="K29">
        <v>107844</v>
      </c>
      <c r="L29">
        <v>67938.66</v>
      </c>
      <c r="M29">
        <v>39905.339999999997</v>
      </c>
      <c r="N29" t="s">
        <v>50</v>
      </c>
    </row>
    <row r="30" spans="1:14" x14ac:dyDescent="0.3">
      <c r="A30">
        <v>1029</v>
      </c>
      <c r="B30" s="2">
        <v>45372</v>
      </c>
      <c r="C30" t="s">
        <v>14</v>
      </c>
      <c r="D30" t="s">
        <v>20</v>
      </c>
      <c r="E30" t="s">
        <v>26</v>
      </c>
      <c r="F30" t="s">
        <v>31</v>
      </c>
      <c r="G30" t="s">
        <v>37</v>
      </c>
      <c r="H30" t="s">
        <v>47</v>
      </c>
      <c r="I30">
        <v>5</v>
      </c>
      <c r="J30">
        <v>13886</v>
      </c>
      <c r="K30">
        <v>69430</v>
      </c>
      <c r="L30">
        <v>53282.77</v>
      </c>
      <c r="M30">
        <v>16147.23</v>
      </c>
      <c r="N30" t="s">
        <v>51</v>
      </c>
    </row>
    <row r="31" spans="1:14" x14ac:dyDescent="0.3">
      <c r="A31">
        <v>1030</v>
      </c>
      <c r="B31" s="2">
        <v>45436</v>
      </c>
      <c r="C31" t="s">
        <v>15</v>
      </c>
      <c r="D31" t="s">
        <v>22</v>
      </c>
      <c r="E31" t="s">
        <v>27</v>
      </c>
      <c r="F31" t="s">
        <v>31</v>
      </c>
      <c r="G31" t="s">
        <v>37</v>
      </c>
      <c r="H31" t="s">
        <v>47</v>
      </c>
      <c r="I31">
        <v>2</v>
      </c>
      <c r="J31">
        <v>1110</v>
      </c>
      <c r="K31">
        <v>2220</v>
      </c>
      <c r="L31">
        <v>1586.35</v>
      </c>
      <c r="M31">
        <v>633.65</v>
      </c>
      <c r="N31" t="s">
        <v>51</v>
      </c>
    </row>
    <row r="32" spans="1:14" x14ac:dyDescent="0.3">
      <c r="A32">
        <v>1031</v>
      </c>
      <c r="B32" s="2">
        <v>45364</v>
      </c>
      <c r="C32" t="s">
        <v>14</v>
      </c>
      <c r="D32" t="s">
        <v>23</v>
      </c>
      <c r="E32" t="s">
        <v>27</v>
      </c>
      <c r="F32" t="s">
        <v>30</v>
      </c>
      <c r="G32" t="s">
        <v>40</v>
      </c>
      <c r="H32" t="s">
        <v>44</v>
      </c>
      <c r="I32">
        <v>2</v>
      </c>
      <c r="J32">
        <v>58123</v>
      </c>
      <c r="K32">
        <v>116246</v>
      </c>
      <c r="L32">
        <v>76846.87</v>
      </c>
      <c r="M32">
        <v>39399.129999999997</v>
      </c>
      <c r="N32" t="s">
        <v>51</v>
      </c>
    </row>
    <row r="33" spans="1:14" x14ac:dyDescent="0.3">
      <c r="A33">
        <v>1032</v>
      </c>
      <c r="B33" s="2">
        <v>45318</v>
      </c>
      <c r="C33" t="s">
        <v>14</v>
      </c>
      <c r="D33" t="s">
        <v>20</v>
      </c>
      <c r="E33" t="s">
        <v>24</v>
      </c>
      <c r="F33" t="s">
        <v>29</v>
      </c>
      <c r="G33" t="s">
        <v>32</v>
      </c>
      <c r="H33" t="s">
        <v>48</v>
      </c>
      <c r="I33">
        <v>9</v>
      </c>
      <c r="J33">
        <v>20120</v>
      </c>
      <c r="K33">
        <v>181080</v>
      </c>
      <c r="L33">
        <v>150828.6</v>
      </c>
      <c r="M33">
        <v>30251.4</v>
      </c>
      <c r="N33" t="s">
        <v>50</v>
      </c>
    </row>
    <row r="34" spans="1:14" x14ac:dyDescent="0.3">
      <c r="A34">
        <v>1033</v>
      </c>
      <c r="B34" s="2">
        <v>45344</v>
      </c>
      <c r="C34" t="s">
        <v>16</v>
      </c>
      <c r="D34" t="s">
        <v>19</v>
      </c>
      <c r="E34" t="s">
        <v>26</v>
      </c>
      <c r="F34" t="s">
        <v>31</v>
      </c>
      <c r="G34" t="s">
        <v>37</v>
      </c>
      <c r="H34" t="s">
        <v>45</v>
      </c>
      <c r="I34">
        <v>10</v>
      </c>
      <c r="J34">
        <v>14303</v>
      </c>
      <c r="K34">
        <v>143030</v>
      </c>
      <c r="L34">
        <v>111478.02</v>
      </c>
      <c r="M34">
        <v>31551.98</v>
      </c>
      <c r="N34" t="s">
        <v>50</v>
      </c>
    </row>
    <row r="35" spans="1:14" x14ac:dyDescent="0.3">
      <c r="A35">
        <v>1034</v>
      </c>
      <c r="B35" s="2">
        <v>45325</v>
      </c>
      <c r="C35" t="s">
        <v>16</v>
      </c>
      <c r="D35" t="s">
        <v>21</v>
      </c>
      <c r="E35" t="s">
        <v>28</v>
      </c>
      <c r="F35" t="s">
        <v>30</v>
      </c>
      <c r="G35" t="s">
        <v>34</v>
      </c>
      <c r="H35" t="s">
        <v>46</v>
      </c>
      <c r="I35">
        <v>5</v>
      </c>
      <c r="J35">
        <v>3389</v>
      </c>
      <c r="K35">
        <v>16945</v>
      </c>
      <c r="L35">
        <v>10182.02</v>
      </c>
      <c r="M35">
        <v>6762.98</v>
      </c>
      <c r="N35" t="s">
        <v>51</v>
      </c>
    </row>
    <row r="36" spans="1:14" x14ac:dyDescent="0.3">
      <c r="A36">
        <v>1035</v>
      </c>
      <c r="B36" s="2">
        <v>45468</v>
      </c>
      <c r="C36" t="s">
        <v>14</v>
      </c>
      <c r="D36" t="s">
        <v>19</v>
      </c>
      <c r="E36" t="s">
        <v>24</v>
      </c>
      <c r="F36" t="s">
        <v>29</v>
      </c>
      <c r="G36" t="s">
        <v>32</v>
      </c>
      <c r="H36" t="s">
        <v>45</v>
      </c>
      <c r="I36">
        <v>2</v>
      </c>
      <c r="J36">
        <v>5431</v>
      </c>
      <c r="K36">
        <v>10862</v>
      </c>
      <c r="L36">
        <v>9083.49</v>
      </c>
      <c r="M36">
        <v>1778.51</v>
      </c>
      <c r="N36" t="s">
        <v>50</v>
      </c>
    </row>
    <row r="37" spans="1:14" x14ac:dyDescent="0.3">
      <c r="A37">
        <v>1036</v>
      </c>
      <c r="B37" s="2">
        <v>45302</v>
      </c>
      <c r="C37" t="s">
        <v>16</v>
      </c>
      <c r="D37" t="s">
        <v>21</v>
      </c>
      <c r="E37" t="s">
        <v>28</v>
      </c>
      <c r="F37" t="s">
        <v>31</v>
      </c>
      <c r="G37" t="s">
        <v>43</v>
      </c>
      <c r="H37" t="s">
        <v>47</v>
      </c>
      <c r="I37">
        <v>1</v>
      </c>
      <c r="J37">
        <v>20702</v>
      </c>
      <c r="K37">
        <v>20702</v>
      </c>
      <c r="L37">
        <v>14308.45</v>
      </c>
      <c r="M37">
        <v>6393.55</v>
      </c>
      <c r="N37" t="s">
        <v>50</v>
      </c>
    </row>
    <row r="38" spans="1:14" x14ac:dyDescent="0.3">
      <c r="A38">
        <v>1037</v>
      </c>
      <c r="B38" s="2">
        <v>45352</v>
      </c>
      <c r="C38" t="s">
        <v>14</v>
      </c>
      <c r="D38" t="s">
        <v>21</v>
      </c>
      <c r="E38" t="s">
        <v>26</v>
      </c>
      <c r="F38" t="s">
        <v>31</v>
      </c>
      <c r="G38" t="s">
        <v>41</v>
      </c>
      <c r="H38" t="s">
        <v>48</v>
      </c>
      <c r="I38">
        <v>10</v>
      </c>
      <c r="J38">
        <v>49617</v>
      </c>
      <c r="K38">
        <v>496170</v>
      </c>
      <c r="L38">
        <v>316873.18</v>
      </c>
      <c r="M38">
        <v>179296.82</v>
      </c>
      <c r="N38" t="s">
        <v>50</v>
      </c>
    </row>
    <row r="39" spans="1:14" x14ac:dyDescent="0.3">
      <c r="A39">
        <v>1038</v>
      </c>
      <c r="B39" s="2">
        <v>45355</v>
      </c>
      <c r="C39" t="s">
        <v>16</v>
      </c>
      <c r="D39" t="s">
        <v>21</v>
      </c>
      <c r="E39" t="s">
        <v>28</v>
      </c>
      <c r="F39" t="s">
        <v>29</v>
      </c>
      <c r="G39" t="s">
        <v>38</v>
      </c>
      <c r="H39" t="s">
        <v>48</v>
      </c>
      <c r="I39">
        <v>7</v>
      </c>
      <c r="J39">
        <v>53075</v>
      </c>
      <c r="K39">
        <v>371525</v>
      </c>
      <c r="L39">
        <v>285136.81</v>
      </c>
      <c r="M39">
        <v>86388.19</v>
      </c>
      <c r="N39" t="s">
        <v>51</v>
      </c>
    </row>
    <row r="40" spans="1:14" x14ac:dyDescent="0.3">
      <c r="A40">
        <v>1039</v>
      </c>
      <c r="B40" s="2">
        <v>45409</v>
      </c>
      <c r="C40" t="s">
        <v>16</v>
      </c>
      <c r="D40" t="s">
        <v>20</v>
      </c>
      <c r="E40" t="s">
        <v>25</v>
      </c>
      <c r="F40" t="s">
        <v>30</v>
      </c>
      <c r="G40" t="s">
        <v>34</v>
      </c>
      <c r="H40" t="s">
        <v>47</v>
      </c>
      <c r="I40">
        <v>4</v>
      </c>
      <c r="J40">
        <v>13579</v>
      </c>
      <c r="K40">
        <v>54316</v>
      </c>
      <c r="L40">
        <v>43678.03</v>
      </c>
      <c r="M40">
        <v>10637.97</v>
      </c>
      <c r="N40" t="s">
        <v>50</v>
      </c>
    </row>
    <row r="41" spans="1:14" x14ac:dyDescent="0.3">
      <c r="A41">
        <v>1040</v>
      </c>
      <c r="B41" s="2">
        <v>45309</v>
      </c>
      <c r="C41" t="s">
        <v>16</v>
      </c>
      <c r="D41" t="s">
        <v>20</v>
      </c>
      <c r="E41" t="s">
        <v>28</v>
      </c>
      <c r="F41" t="s">
        <v>29</v>
      </c>
      <c r="G41" t="s">
        <v>36</v>
      </c>
      <c r="H41" t="s">
        <v>49</v>
      </c>
      <c r="I41">
        <v>7</v>
      </c>
      <c r="J41">
        <v>22012</v>
      </c>
      <c r="K41">
        <v>154084</v>
      </c>
      <c r="L41">
        <v>103182.47</v>
      </c>
      <c r="M41">
        <v>50901.53</v>
      </c>
      <c r="N41" t="s">
        <v>51</v>
      </c>
    </row>
    <row r="42" spans="1:14" x14ac:dyDescent="0.3">
      <c r="A42">
        <v>1041</v>
      </c>
      <c r="B42" s="2">
        <v>45358</v>
      </c>
      <c r="C42" t="s">
        <v>14</v>
      </c>
      <c r="D42" t="s">
        <v>19</v>
      </c>
      <c r="E42" t="s">
        <v>20</v>
      </c>
      <c r="F42" t="s">
        <v>29</v>
      </c>
      <c r="G42" t="s">
        <v>38</v>
      </c>
      <c r="H42" t="s">
        <v>48</v>
      </c>
      <c r="I42">
        <v>1</v>
      </c>
      <c r="J42">
        <v>8059</v>
      </c>
      <c r="K42">
        <v>8059</v>
      </c>
      <c r="L42">
        <v>6602.41</v>
      </c>
      <c r="M42">
        <v>1456.59</v>
      </c>
      <c r="N42" t="s">
        <v>50</v>
      </c>
    </row>
    <row r="43" spans="1:14" x14ac:dyDescent="0.3">
      <c r="A43">
        <v>1042</v>
      </c>
      <c r="B43" s="2">
        <v>45403</v>
      </c>
      <c r="C43" t="s">
        <v>15</v>
      </c>
      <c r="D43" t="s">
        <v>23</v>
      </c>
      <c r="E43" t="s">
        <v>27</v>
      </c>
      <c r="F43" t="s">
        <v>29</v>
      </c>
      <c r="G43" t="s">
        <v>33</v>
      </c>
      <c r="H43" t="s">
        <v>47</v>
      </c>
      <c r="I43">
        <v>6</v>
      </c>
      <c r="J43">
        <v>48245</v>
      </c>
      <c r="K43">
        <v>289470</v>
      </c>
      <c r="L43">
        <v>230593.84</v>
      </c>
      <c r="M43">
        <v>58876.160000000003</v>
      </c>
      <c r="N43" t="s">
        <v>51</v>
      </c>
    </row>
    <row r="44" spans="1:14" x14ac:dyDescent="0.3">
      <c r="A44">
        <v>1043</v>
      </c>
      <c r="B44" s="2">
        <v>45429</v>
      </c>
      <c r="C44" t="s">
        <v>14</v>
      </c>
      <c r="D44" t="s">
        <v>20</v>
      </c>
      <c r="E44" t="s">
        <v>26</v>
      </c>
      <c r="F44" t="s">
        <v>30</v>
      </c>
      <c r="G44" t="s">
        <v>34</v>
      </c>
      <c r="H44" t="s">
        <v>48</v>
      </c>
      <c r="I44">
        <v>1</v>
      </c>
      <c r="J44">
        <v>34573</v>
      </c>
      <c r="K44">
        <v>34573</v>
      </c>
      <c r="L44">
        <v>28743.78</v>
      </c>
      <c r="M44">
        <v>5829.22</v>
      </c>
      <c r="N44" t="s">
        <v>51</v>
      </c>
    </row>
    <row r="45" spans="1:14" x14ac:dyDescent="0.3">
      <c r="A45">
        <v>1044</v>
      </c>
      <c r="B45" s="2">
        <v>45421</v>
      </c>
      <c r="C45" t="s">
        <v>16</v>
      </c>
      <c r="D45" t="s">
        <v>18</v>
      </c>
      <c r="E45" t="s">
        <v>26</v>
      </c>
      <c r="F45" t="s">
        <v>29</v>
      </c>
      <c r="G45" t="s">
        <v>38</v>
      </c>
      <c r="H45" t="s">
        <v>45</v>
      </c>
      <c r="I45">
        <v>2</v>
      </c>
      <c r="J45">
        <v>47669</v>
      </c>
      <c r="K45">
        <v>95338</v>
      </c>
      <c r="L45">
        <v>78654.97</v>
      </c>
      <c r="M45">
        <v>16683.03</v>
      </c>
      <c r="N45" t="s">
        <v>51</v>
      </c>
    </row>
    <row r="46" spans="1:14" x14ac:dyDescent="0.3">
      <c r="A46">
        <v>1045</v>
      </c>
      <c r="B46" s="2">
        <v>45462</v>
      </c>
      <c r="C46" t="s">
        <v>17</v>
      </c>
      <c r="D46" t="s">
        <v>18</v>
      </c>
      <c r="E46" t="s">
        <v>28</v>
      </c>
      <c r="F46" t="s">
        <v>29</v>
      </c>
      <c r="G46" t="s">
        <v>38</v>
      </c>
      <c r="H46" t="s">
        <v>47</v>
      </c>
      <c r="I46">
        <v>9</v>
      </c>
      <c r="J46">
        <v>8841</v>
      </c>
      <c r="K46">
        <v>79569</v>
      </c>
      <c r="L46">
        <v>51557.53</v>
      </c>
      <c r="M46">
        <v>28011.47</v>
      </c>
      <c r="N46" t="s">
        <v>51</v>
      </c>
    </row>
    <row r="47" spans="1:14" x14ac:dyDescent="0.3">
      <c r="A47">
        <v>1046</v>
      </c>
      <c r="B47" s="2">
        <v>45440</v>
      </c>
      <c r="C47" t="s">
        <v>16</v>
      </c>
      <c r="D47" t="s">
        <v>23</v>
      </c>
      <c r="E47" t="s">
        <v>26</v>
      </c>
      <c r="F47" t="s">
        <v>31</v>
      </c>
      <c r="G47" t="s">
        <v>39</v>
      </c>
      <c r="H47" t="s">
        <v>46</v>
      </c>
      <c r="I47">
        <v>5</v>
      </c>
      <c r="J47">
        <v>19303</v>
      </c>
      <c r="K47">
        <v>96515</v>
      </c>
      <c r="L47">
        <v>62980.45</v>
      </c>
      <c r="M47">
        <v>33534.550000000003</v>
      </c>
      <c r="N47" t="s">
        <v>50</v>
      </c>
    </row>
    <row r="48" spans="1:14" x14ac:dyDescent="0.3">
      <c r="A48">
        <v>1047</v>
      </c>
      <c r="B48" s="2">
        <v>45423</v>
      </c>
      <c r="C48" t="s">
        <v>16</v>
      </c>
      <c r="D48" t="s">
        <v>22</v>
      </c>
      <c r="E48" t="s">
        <v>25</v>
      </c>
      <c r="F48" t="s">
        <v>29</v>
      </c>
      <c r="G48" t="s">
        <v>33</v>
      </c>
      <c r="H48" t="s">
        <v>44</v>
      </c>
      <c r="I48">
        <v>3</v>
      </c>
      <c r="J48">
        <v>43678</v>
      </c>
      <c r="K48">
        <v>131034</v>
      </c>
      <c r="L48">
        <v>81398.17</v>
      </c>
      <c r="M48">
        <v>49635.83</v>
      </c>
      <c r="N48" t="s">
        <v>51</v>
      </c>
    </row>
    <row r="49" spans="1:14" x14ac:dyDescent="0.3">
      <c r="A49">
        <v>1048</v>
      </c>
      <c r="B49" s="2">
        <v>45413</v>
      </c>
      <c r="C49" t="s">
        <v>15</v>
      </c>
      <c r="D49" t="s">
        <v>23</v>
      </c>
      <c r="E49" t="s">
        <v>26</v>
      </c>
      <c r="F49" t="s">
        <v>30</v>
      </c>
      <c r="G49" t="s">
        <v>35</v>
      </c>
      <c r="H49" t="s">
        <v>44</v>
      </c>
      <c r="I49">
        <v>3</v>
      </c>
      <c r="J49">
        <v>2100</v>
      </c>
      <c r="K49">
        <v>6300</v>
      </c>
      <c r="L49">
        <v>3852.79</v>
      </c>
      <c r="M49">
        <v>2447.21</v>
      </c>
      <c r="N49" t="s">
        <v>50</v>
      </c>
    </row>
    <row r="50" spans="1:14" x14ac:dyDescent="0.3">
      <c r="A50">
        <v>1049</v>
      </c>
      <c r="B50" s="2">
        <v>45459</v>
      </c>
      <c r="C50" t="s">
        <v>15</v>
      </c>
      <c r="D50" t="s">
        <v>22</v>
      </c>
      <c r="E50" t="s">
        <v>26</v>
      </c>
      <c r="F50" t="s">
        <v>29</v>
      </c>
      <c r="G50" t="s">
        <v>33</v>
      </c>
      <c r="H50" t="s">
        <v>47</v>
      </c>
      <c r="I50">
        <v>8</v>
      </c>
      <c r="J50">
        <v>26691</v>
      </c>
      <c r="K50">
        <v>213528</v>
      </c>
      <c r="L50">
        <v>141141.18</v>
      </c>
      <c r="M50">
        <v>72386.820000000007</v>
      </c>
      <c r="N50" t="s">
        <v>50</v>
      </c>
    </row>
    <row r="51" spans="1:14" x14ac:dyDescent="0.3">
      <c r="A51">
        <v>1050</v>
      </c>
      <c r="B51" s="2">
        <v>45323</v>
      </c>
      <c r="C51" t="s">
        <v>17</v>
      </c>
      <c r="D51" t="s">
        <v>21</v>
      </c>
      <c r="E51" t="s">
        <v>26</v>
      </c>
      <c r="F51" t="s">
        <v>29</v>
      </c>
      <c r="G51" t="s">
        <v>33</v>
      </c>
      <c r="H51" t="s">
        <v>44</v>
      </c>
      <c r="I51">
        <v>1</v>
      </c>
      <c r="J51">
        <v>37030</v>
      </c>
      <c r="K51">
        <v>37030</v>
      </c>
      <c r="L51">
        <v>24524.95</v>
      </c>
      <c r="M51">
        <v>12505.05</v>
      </c>
      <c r="N51" t="s">
        <v>51</v>
      </c>
    </row>
    <row r="52" spans="1:14" x14ac:dyDescent="0.3">
      <c r="A52">
        <v>1051</v>
      </c>
      <c r="B52" s="2">
        <v>45413</v>
      </c>
      <c r="C52" t="s">
        <v>17</v>
      </c>
      <c r="D52" t="s">
        <v>20</v>
      </c>
      <c r="E52" t="s">
        <v>25</v>
      </c>
      <c r="F52" t="s">
        <v>31</v>
      </c>
      <c r="G52" t="s">
        <v>41</v>
      </c>
      <c r="H52" t="s">
        <v>44</v>
      </c>
      <c r="I52">
        <v>9</v>
      </c>
      <c r="J52">
        <v>29723</v>
      </c>
      <c r="K52">
        <v>267507</v>
      </c>
      <c r="L52">
        <v>220506.56</v>
      </c>
      <c r="M52">
        <v>47000.44</v>
      </c>
      <c r="N52" t="s">
        <v>51</v>
      </c>
    </row>
    <row r="53" spans="1:14" x14ac:dyDescent="0.3">
      <c r="A53">
        <v>1052</v>
      </c>
      <c r="B53" s="2">
        <v>45365</v>
      </c>
      <c r="C53" t="s">
        <v>14</v>
      </c>
      <c r="D53" t="s">
        <v>20</v>
      </c>
      <c r="E53" t="s">
        <v>20</v>
      </c>
      <c r="F53" t="s">
        <v>29</v>
      </c>
      <c r="G53" t="s">
        <v>33</v>
      </c>
      <c r="H53" t="s">
        <v>45</v>
      </c>
      <c r="I53">
        <v>4</v>
      </c>
      <c r="J53">
        <v>18496</v>
      </c>
      <c r="K53">
        <v>73984</v>
      </c>
      <c r="L53">
        <v>52526.28</v>
      </c>
      <c r="M53">
        <v>21457.72</v>
      </c>
      <c r="N53" t="s">
        <v>50</v>
      </c>
    </row>
    <row r="54" spans="1:14" x14ac:dyDescent="0.3">
      <c r="A54">
        <v>1053</v>
      </c>
      <c r="B54" s="2">
        <v>45472</v>
      </c>
      <c r="C54" t="s">
        <v>14</v>
      </c>
      <c r="D54" t="s">
        <v>22</v>
      </c>
      <c r="E54" t="s">
        <v>26</v>
      </c>
      <c r="F54" t="s">
        <v>30</v>
      </c>
      <c r="G54" t="s">
        <v>35</v>
      </c>
      <c r="H54" t="s">
        <v>46</v>
      </c>
      <c r="I54">
        <v>4</v>
      </c>
      <c r="J54">
        <v>25602</v>
      </c>
      <c r="K54">
        <v>102408</v>
      </c>
      <c r="L54">
        <v>79211.3</v>
      </c>
      <c r="M54">
        <v>23196.7</v>
      </c>
      <c r="N54" t="s">
        <v>51</v>
      </c>
    </row>
    <row r="55" spans="1:14" x14ac:dyDescent="0.3">
      <c r="A55">
        <v>1054</v>
      </c>
      <c r="B55" s="2">
        <v>45399</v>
      </c>
      <c r="C55" t="s">
        <v>17</v>
      </c>
      <c r="D55" t="s">
        <v>19</v>
      </c>
      <c r="E55" t="s">
        <v>28</v>
      </c>
      <c r="F55" t="s">
        <v>29</v>
      </c>
      <c r="G55" t="s">
        <v>33</v>
      </c>
      <c r="H55" t="s">
        <v>48</v>
      </c>
      <c r="I55">
        <v>7</v>
      </c>
      <c r="J55">
        <v>4580</v>
      </c>
      <c r="K55">
        <v>32060</v>
      </c>
      <c r="L55">
        <v>20893.78</v>
      </c>
      <c r="M55">
        <v>11166.22</v>
      </c>
      <c r="N55" t="s">
        <v>51</v>
      </c>
    </row>
    <row r="56" spans="1:14" x14ac:dyDescent="0.3">
      <c r="A56">
        <v>1055</v>
      </c>
      <c r="B56" s="2">
        <v>45399</v>
      </c>
      <c r="C56" t="s">
        <v>14</v>
      </c>
      <c r="D56" t="s">
        <v>23</v>
      </c>
      <c r="E56" t="s">
        <v>25</v>
      </c>
      <c r="F56" t="s">
        <v>31</v>
      </c>
      <c r="G56" t="s">
        <v>39</v>
      </c>
      <c r="H56" t="s">
        <v>45</v>
      </c>
      <c r="I56">
        <v>6</v>
      </c>
      <c r="J56">
        <v>20069</v>
      </c>
      <c r="K56">
        <v>120414</v>
      </c>
      <c r="L56">
        <v>94930.64</v>
      </c>
      <c r="M56">
        <v>25483.360000000001</v>
      </c>
      <c r="N56" t="s">
        <v>51</v>
      </c>
    </row>
    <row r="57" spans="1:14" x14ac:dyDescent="0.3">
      <c r="A57">
        <v>1056</v>
      </c>
      <c r="B57" s="2">
        <v>45395</v>
      </c>
      <c r="C57" t="s">
        <v>14</v>
      </c>
      <c r="D57" t="s">
        <v>23</v>
      </c>
      <c r="E57" t="s">
        <v>25</v>
      </c>
      <c r="F57" t="s">
        <v>31</v>
      </c>
      <c r="G57" t="s">
        <v>39</v>
      </c>
      <c r="H57" t="s">
        <v>49</v>
      </c>
      <c r="I57">
        <v>7</v>
      </c>
      <c r="J57">
        <v>22528</v>
      </c>
      <c r="K57">
        <v>157696</v>
      </c>
      <c r="L57">
        <v>120987.27</v>
      </c>
      <c r="M57">
        <v>36708.730000000003</v>
      </c>
      <c r="N57" t="s">
        <v>50</v>
      </c>
    </row>
    <row r="58" spans="1:14" x14ac:dyDescent="0.3">
      <c r="A58">
        <v>1057</v>
      </c>
      <c r="B58" s="2">
        <v>45410</v>
      </c>
      <c r="C58" t="s">
        <v>14</v>
      </c>
      <c r="D58" t="s">
        <v>22</v>
      </c>
      <c r="E58" t="s">
        <v>20</v>
      </c>
      <c r="F58" t="s">
        <v>31</v>
      </c>
      <c r="G58" t="s">
        <v>39</v>
      </c>
      <c r="H58" t="s">
        <v>46</v>
      </c>
      <c r="I58">
        <v>2</v>
      </c>
      <c r="J58">
        <v>42623</v>
      </c>
      <c r="K58">
        <v>85246</v>
      </c>
      <c r="L58">
        <v>60281.98</v>
      </c>
      <c r="M58">
        <v>24964.02</v>
      </c>
      <c r="N58" t="s">
        <v>51</v>
      </c>
    </row>
    <row r="59" spans="1:14" x14ac:dyDescent="0.3">
      <c r="A59">
        <v>1058</v>
      </c>
      <c r="B59" s="2">
        <v>45389</v>
      </c>
      <c r="C59" t="s">
        <v>16</v>
      </c>
      <c r="D59" t="s">
        <v>23</v>
      </c>
      <c r="E59" t="s">
        <v>20</v>
      </c>
      <c r="F59" t="s">
        <v>30</v>
      </c>
      <c r="G59" t="s">
        <v>34</v>
      </c>
      <c r="H59" t="s">
        <v>48</v>
      </c>
      <c r="I59">
        <v>6</v>
      </c>
      <c r="J59">
        <v>22618</v>
      </c>
      <c r="K59">
        <v>135708</v>
      </c>
      <c r="L59">
        <v>107251.04</v>
      </c>
      <c r="M59">
        <v>28456.959999999999</v>
      </c>
      <c r="N59" t="s">
        <v>51</v>
      </c>
    </row>
    <row r="60" spans="1:14" x14ac:dyDescent="0.3">
      <c r="A60">
        <v>1059</v>
      </c>
      <c r="B60" s="2">
        <v>45458</v>
      </c>
      <c r="C60" t="s">
        <v>15</v>
      </c>
      <c r="D60" t="s">
        <v>22</v>
      </c>
      <c r="E60" t="s">
        <v>25</v>
      </c>
      <c r="F60" t="s">
        <v>30</v>
      </c>
      <c r="G60" t="s">
        <v>42</v>
      </c>
      <c r="H60" t="s">
        <v>47</v>
      </c>
      <c r="I60">
        <v>6</v>
      </c>
      <c r="J60">
        <v>15194</v>
      </c>
      <c r="K60">
        <v>91164</v>
      </c>
      <c r="L60">
        <v>69515.83</v>
      </c>
      <c r="M60">
        <v>21648.17</v>
      </c>
      <c r="N60" t="s">
        <v>50</v>
      </c>
    </row>
    <row r="61" spans="1:14" x14ac:dyDescent="0.3">
      <c r="A61">
        <v>1060</v>
      </c>
      <c r="B61" s="2">
        <v>45321</v>
      </c>
      <c r="C61" t="s">
        <v>14</v>
      </c>
      <c r="D61" t="s">
        <v>23</v>
      </c>
      <c r="E61" t="s">
        <v>28</v>
      </c>
      <c r="F61" t="s">
        <v>29</v>
      </c>
      <c r="G61" t="s">
        <v>36</v>
      </c>
      <c r="H61" t="s">
        <v>45</v>
      </c>
      <c r="I61">
        <v>4</v>
      </c>
      <c r="J61">
        <v>8772</v>
      </c>
      <c r="K61">
        <v>35088</v>
      </c>
      <c r="L61">
        <v>25206.880000000001</v>
      </c>
      <c r="M61">
        <v>9881.1200000000008</v>
      </c>
      <c r="N61" t="s">
        <v>51</v>
      </c>
    </row>
    <row r="62" spans="1:14" x14ac:dyDescent="0.3">
      <c r="A62">
        <v>1061</v>
      </c>
      <c r="B62" s="2">
        <v>45298</v>
      </c>
      <c r="C62" t="s">
        <v>16</v>
      </c>
      <c r="D62" t="s">
        <v>19</v>
      </c>
      <c r="E62" t="s">
        <v>28</v>
      </c>
      <c r="F62" t="s">
        <v>30</v>
      </c>
      <c r="G62" t="s">
        <v>42</v>
      </c>
      <c r="H62" t="s">
        <v>46</v>
      </c>
      <c r="I62">
        <v>3</v>
      </c>
      <c r="J62">
        <v>20884</v>
      </c>
      <c r="K62">
        <v>62652</v>
      </c>
      <c r="L62">
        <v>39284.35</v>
      </c>
      <c r="M62">
        <v>23367.65</v>
      </c>
      <c r="N62" t="s">
        <v>51</v>
      </c>
    </row>
    <row r="63" spans="1:14" x14ac:dyDescent="0.3">
      <c r="A63">
        <v>1062</v>
      </c>
      <c r="B63" s="2">
        <v>45452</v>
      </c>
      <c r="C63" t="s">
        <v>14</v>
      </c>
      <c r="D63" t="s">
        <v>22</v>
      </c>
      <c r="E63" t="s">
        <v>28</v>
      </c>
      <c r="F63" t="s">
        <v>29</v>
      </c>
      <c r="G63" t="s">
        <v>36</v>
      </c>
      <c r="H63" t="s">
        <v>45</v>
      </c>
      <c r="I63">
        <v>2</v>
      </c>
      <c r="J63">
        <v>39303</v>
      </c>
      <c r="K63">
        <v>78606</v>
      </c>
      <c r="L63">
        <v>60735.21</v>
      </c>
      <c r="M63">
        <v>17870.79</v>
      </c>
      <c r="N63" t="s">
        <v>50</v>
      </c>
    </row>
    <row r="64" spans="1:14" x14ac:dyDescent="0.3">
      <c r="A64">
        <v>1063</v>
      </c>
      <c r="B64" s="2">
        <v>45386</v>
      </c>
      <c r="C64" t="s">
        <v>15</v>
      </c>
      <c r="D64" t="s">
        <v>19</v>
      </c>
      <c r="E64" t="s">
        <v>28</v>
      </c>
      <c r="F64" t="s">
        <v>29</v>
      </c>
      <c r="G64" t="s">
        <v>32</v>
      </c>
      <c r="H64" t="s">
        <v>45</v>
      </c>
      <c r="I64">
        <v>6</v>
      </c>
      <c r="J64">
        <v>35413</v>
      </c>
      <c r="K64">
        <v>212478</v>
      </c>
      <c r="L64">
        <v>150242.03</v>
      </c>
      <c r="M64">
        <v>62235.97</v>
      </c>
      <c r="N64" t="s">
        <v>50</v>
      </c>
    </row>
    <row r="65" spans="1:14" x14ac:dyDescent="0.3">
      <c r="A65">
        <v>1064</v>
      </c>
      <c r="B65" s="2">
        <v>45454</v>
      </c>
      <c r="C65" t="s">
        <v>17</v>
      </c>
      <c r="D65" t="s">
        <v>18</v>
      </c>
      <c r="E65" t="s">
        <v>25</v>
      </c>
      <c r="F65" t="s">
        <v>31</v>
      </c>
      <c r="G65" t="s">
        <v>41</v>
      </c>
      <c r="H65" t="s">
        <v>46</v>
      </c>
      <c r="I65">
        <v>2</v>
      </c>
      <c r="J65">
        <v>28911</v>
      </c>
      <c r="K65">
        <v>57822</v>
      </c>
      <c r="L65">
        <v>48581.86</v>
      </c>
      <c r="M65">
        <v>9240.14</v>
      </c>
      <c r="N65" t="s">
        <v>50</v>
      </c>
    </row>
    <row r="66" spans="1:14" x14ac:dyDescent="0.3">
      <c r="A66">
        <v>1065</v>
      </c>
      <c r="B66" s="2">
        <v>45415</v>
      </c>
      <c r="C66" t="s">
        <v>17</v>
      </c>
      <c r="D66" t="s">
        <v>23</v>
      </c>
      <c r="E66" t="s">
        <v>28</v>
      </c>
      <c r="F66" t="s">
        <v>29</v>
      </c>
      <c r="G66" t="s">
        <v>38</v>
      </c>
      <c r="H66" t="s">
        <v>49</v>
      </c>
      <c r="I66">
        <v>10</v>
      </c>
      <c r="J66">
        <v>53466</v>
      </c>
      <c r="K66">
        <v>534660</v>
      </c>
      <c r="L66">
        <v>443716.69</v>
      </c>
      <c r="M66">
        <v>90943.31</v>
      </c>
      <c r="N66" t="s">
        <v>51</v>
      </c>
    </row>
    <row r="67" spans="1:14" x14ac:dyDescent="0.3">
      <c r="A67">
        <v>1066</v>
      </c>
      <c r="B67" s="2">
        <v>45354</v>
      </c>
      <c r="C67" t="s">
        <v>17</v>
      </c>
      <c r="D67" t="s">
        <v>19</v>
      </c>
      <c r="E67" t="s">
        <v>27</v>
      </c>
      <c r="F67" t="s">
        <v>31</v>
      </c>
      <c r="G67" t="s">
        <v>43</v>
      </c>
      <c r="H67" t="s">
        <v>44</v>
      </c>
      <c r="I67">
        <v>2</v>
      </c>
      <c r="J67">
        <v>18779</v>
      </c>
      <c r="K67">
        <v>37558</v>
      </c>
      <c r="L67">
        <v>30812.880000000001</v>
      </c>
      <c r="M67">
        <v>6745.12</v>
      </c>
      <c r="N67" t="s">
        <v>51</v>
      </c>
    </row>
    <row r="68" spans="1:14" x14ac:dyDescent="0.3">
      <c r="A68">
        <v>1067</v>
      </c>
      <c r="B68" s="2">
        <v>45416</v>
      </c>
      <c r="C68" t="s">
        <v>14</v>
      </c>
      <c r="D68" t="s">
        <v>20</v>
      </c>
      <c r="E68" t="s">
        <v>20</v>
      </c>
      <c r="F68" t="s">
        <v>31</v>
      </c>
      <c r="G68" t="s">
        <v>39</v>
      </c>
      <c r="H68" t="s">
        <v>45</v>
      </c>
      <c r="I68">
        <v>8</v>
      </c>
      <c r="J68">
        <v>56268</v>
      </c>
      <c r="K68">
        <v>450144</v>
      </c>
      <c r="L68">
        <v>306662.19</v>
      </c>
      <c r="M68">
        <v>143481.81</v>
      </c>
      <c r="N68" t="s">
        <v>51</v>
      </c>
    </row>
    <row r="69" spans="1:14" x14ac:dyDescent="0.3">
      <c r="A69">
        <v>1068</v>
      </c>
      <c r="B69" s="2">
        <v>45340</v>
      </c>
      <c r="C69" t="s">
        <v>15</v>
      </c>
      <c r="D69" t="s">
        <v>21</v>
      </c>
      <c r="E69" t="s">
        <v>28</v>
      </c>
      <c r="F69" t="s">
        <v>29</v>
      </c>
      <c r="G69" t="s">
        <v>38</v>
      </c>
      <c r="H69" t="s">
        <v>46</v>
      </c>
      <c r="I69">
        <v>9</v>
      </c>
      <c r="J69">
        <v>1165</v>
      </c>
      <c r="K69">
        <v>10485</v>
      </c>
      <c r="L69">
        <v>7645.21</v>
      </c>
      <c r="M69">
        <v>2839.79</v>
      </c>
      <c r="N69" t="s">
        <v>51</v>
      </c>
    </row>
    <row r="70" spans="1:14" x14ac:dyDescent="0.3">
      <c r="A70">
        <v>1069</v>
      </c>
      <c r="B70" s="2">
        <v>45406</v>
      </c>
      <c r="C70" t="s">
        <v>15</v>
      </c>
      <c r="D70" t="s">
        <v>22</v>
      </c>
      <c r="E70" t="s">
        <v>20</v>
      </c>
      <c r="F70" t="s">
        <v>29</v>
      </c>
      <c r="G70" t="s">
        <v>36</v>
      </c>
      <c r="H70" t="s">
        <v>47</v>
      </c>
      <c r="I70">
        <v>8</v>
      </c>
      <c r="J70">
        <v>42829</v>
      </c>
      <c r="K70">
        <v>342632</v>
      </c>
      <c r="L70">
        <v>266554.2</v>
      </c>
      <c r="M70">
        <v>76077.8</v>
      </c>
      <c r="N70" t="s">
        <v>51</v>
      </c>
    </row>
    <row r="71" spans="1:14" x14ac:dyDescent="0.3">
      <c r="A71">
        <v>1070</v>
      </c>
      <c r="B71" s="2">
        <v>45413</v>
      </c>
      <c r="C71" t="s">
        <v>16</v>
      </c>
      <c r="D71" t="s">
        <v>23</v>
      </c>
      <c r="E71" t="s">
        <v>28</v>
      </c>
      <c r="F71" t="s">
        <v>29</v>
      </c>
      <c r="G71" t="s">
        <v>36</v>
      </c>
      <c r="H71" t="s">
        <v>49</v>
      </c>
      <c r="I71">
        <v>5</v>
      </c>
      <c r="J71">
        <v>44013</v>
      </c>
      <c r="K71">
        <v>220065</v>
      </c>
      <c r="L71">
        <v>164034.01</v>
      </c>
      <c r="M71">
        <v>56030.99</v>
      </c>
      <c r="N71" t="s">
        <v>51</v>
      </c>
    </row>
    <row r="72" spans="1:14" x14ac:dyDescent="0.3">
      <c r="A72">
        <v>1071</v>
      </c>
      <c r="B72" s="2">
        <v>45322</v>
      </c>
      <c r="C72" t="s">
        <v>14</v>
      </c>
      <c r="D72" t="s">
        <v>20</v>
      </c>
      <c r="E72" t="s">
        <v>24</v>
      </c>
      <c r="F72" t="s">
        <v>31</v>
      </c>
      <c r="G72" t="s">
        <v>41</v>
      </c>
      <c r="H72" t="s">
        <v>44</v>
      </c>
      <c r="I72">
        <v>5</v>
      </c>
      <c r="J72">
        <v>20594</v>
      </c>
      <c r="K72">
        <v>102970</v>
      </c>
      <c r="L72">
        <v>68253.759999999995</v>
      </c>
      <c r="M72">
        <v>34716.239999999998</v>
      </c>
      <c r="N72" t="s">
        <v>50</v>
      </c>
    </row>
    <row r="73" spans="1:14" x14ac:dyDescent="0.3">
      <c r="A73">
        <v>1072</v>
      </c>
      <c r="B73" s="2">
        <v>45426</v>
      </c>
      <c r="C73" t="s">
        <v>16</v>
      </c>
      <c r="D73" t="s">
        <v>22</v>
      </c>
      <c r="E73" t="s">
        <v>25</v>
      </c>
      <c r="F73" t="s">
        <v>30</v>
      </c>
      <c r="G73" t="s">
        <v>35</v>
      </c>
      <c r="H73" t="s">
        <v>45</v>
      </c>
      <c r="I73">
        <v>8</v>
      </c>
      <c r="J73">
        <v>18620</v>
      </c>
      <c r="K73">
        <v>148960</v>
      </c>
      <c r="L73">
        <v>116359.55</v>
      </c>
      <c r="M73">
        <v>32600.45</v>
      </c>
      <c r="N73" t="s">
        <v>50</v>
      </c>
    </row>
    <row r="74" spans="1:14" x14ac:dyDescent="0.3">
      <c r="A74">
        <v>1073</v>
      </c>
      <c r="B74" s="2">
        <v>45324</v>
      </c>
      <c r="C74" t="s">
        <v>16</v>
      </c>
      <c r="D74" t="s">
        <v>22</v>
      </c>
      <c r="E74" t="s">
        <v>24</v>
      </c>
      <c r="F74" t="s">
        <v>31</v>
      </c>
      <c r="G74" t="s">
        <v>43</v>
      </c>
      <c r="H74" t="s">
        <v>49</v>
      </c>
      <c r="I74">
        <v>5</v>
      </c>
      <c r="J74">
        <v>1427</v>
      </c>
      <c r="K74">
        <v>7135</v>
      </c>
      <c r="L74">
        <v>5543.93</v>
      </c>
      <c r="M74">
        <v>1591.07</v>
      </c>
      <c r="N74" t="s">
        <v>51</v>
      </c>
    </row>
    <row r="75" spans="1:14" x14ac:dyDescent="0.3">
      <c r="A75">
        <v>1074</v>
      </c>
      <c r="B75" s="2">
        <v>45438</v>
      </c>
      <c r="C75" t="s">
        <v>16</v>
      </c>
      <c r="D75" t="s">
        <v>23</v>
      </c>
      <c r="E75" t="s">
        <v>26</v>
      </c>
      <c r="F75" t="s">
        <v>29</v>
      </c>
      <c r="G75" t="s">
        <v>36</v>
      </c>
      <c r="H75" t="s">
        <v>46</v>
      </c>
      <c r="I75">
        <v>8</v>
      </c>
      <c r="J75">
        <v>7223</v>
      </c>
      <c r="K75">
        <v>57784</v>
      </c>
      <c r="L75">
        <v>47277.71</v>
      </c>
      <c r="M75">
        <v>10506.29</v>
      </c>
      <c r="N75" t="s">
        <v>51</v>
      </c>
    </row>
    <row r="76" spans="1:14" x14ac:dyDescent="0.3">
      <c r="A76">
        <v>1075</v>
      </c>
      <c r="B76" s="2">
        <v>45308</v>
      </c>
      <c r="C76" t="s">
        <v>17</v>
      </c>
      <c r="D76" t="s">
        <v>23</v>
      </c>
      <c r="E76" t="s">
        <v>24</v>
      </c>
      <c r="F76" t="s">
        <v>30</v>
      </c>
      <c r="G76" t="s">
        <v>42</v>
      </c>
      <c r="H76" t="s">
        <v>49</v>
      </c>
      <c r="I76">
        <v>5</v>
      </c>
      <c r="J76">
        <v>56973</v>
      </c>
      <c r="K76">
        <v>284865</v>
      </c>
      <c r="L76">
        <v>204941.08</v>
      </c>
      <c r="M76">
        <v>79923.92</v>
      </c>
      <c r="N76" t="s">
        <v>50</v>
      </c>
    </row>
    <row r="77" spans="1:14" x14ac:dyDescent="0.3">
      <c r="A77">
        <v>1076</v>
      </c>
      <c r="B77" s="2">
        <v>45355</v>
      </c>
      <c r="C77" t="s">
        <v>15</v>
      </c>
      <c r="D77" t="s">
        <v>19</v>
      </c>
      <c r="E77" t="s">
        <v>26</v>
      </c>
      <c r="F77" t="s">
        <v>30</v>
      </c>
      <c r="G77" t="s">
        <v>35</v>
      </c>
      <c r="H77" t="s">
        <v>49</v>
      </c>
      <c r="I77">
        <v>10</v>
      </c>
      <c r="J77">
        <v>20412</v>
      </c>
      <c r="K77">
        <v>204120</v>
      </c>
      <c r="L77">
        <v>126818.78</v>
      </c>
      <c r="M77">
        <v>77301.22</v>
      </c>
      <c r="N77" t="s">
        <v>50</v>
      </c>
    </row>
    <row r="78" spans="1:14" x14ac:dyDescent="0.3">
      <c r="A78">
        <v>1077</v>
      </c>
      <c r="B78" s="2">
        <v>45442</v>
      </c>
      <c r="C78" t="s">
        <v>17</v>
      </c>
      <c r="D78" t="s">
        <v>20</v>
      </c>
      <c r="E78" t="s">
        <v>27</v>
      </c>
      <c r="F78" t="s">
        <v>29</v>
      </c>
      <c r="G78" t="s">
        <v>33</v>
      </c>
      <c r="H78" t="s">
        <v>49</v>
      </c>
      <c r="I78">
        <v>8</v>
      </c>
      <c r="J78">
        <v>29514</v>
      </c>
      <c r="K78">
        <v>236112</v>
      </c>
      <c r="L78">
        <v>159219.35999999999</v>
      </c>
      <c r="M78">
        <v>76892.639999999999</v>
      </c>
      <c r="N78" t="s">
        <v>50</v>
      </c>
    </row>
    <row r="79" spans="1:14" x14ac:dyDescent="0.3">
      <c r="A79">
        <v>1078</v>
      </c>
      <c r="B79" s="2">
        <v>45461</v>
      </c>
      <c r="C79" t="s">
        <v>15</v>
      </c>
      <c r="D79" t="s">
        <v>21</v>
      </c>
      <c r="E79" t="s">
        <v>25</v>
      </c>
      <c r="F79" t="s">
        <v>29</v>
      </c>
      <c r="G79" t="s">
        <v>32</v>
      </c>
      <c r="H79" t="s">
        <v>47</v>
      </c>
      <c r="I79">
        <v>4</v>
      </c>
      <c r="J79">
        <v>41493</v>
      </c>
      <c r="K79">
        <v>165972</v>
      </c>
      <c r="L79">
        <v>108339.27</v>
      </c>
      <c r="M79">
        <v>57632.73</v>
      </c>
      <c r="N79" t="s">
        <v>50</v>
      </c>
    </row>
    <row r="80" spans="1:14" x14ac:dyDescent="0.3">
      <c r="A80">
        <v>1079</v>
      </c>
      <c r="B80" s="2">
        <v>45412</v>
      </c>
      <c r="C80" t="s">
        <v>16</v>
      </c>
      <c r="D80" t="s">
        <v>22</v>
      </c>
      <c r="E80" t="s">
        <v>25</v>
      </c>
      <c r="F80" t="s">
        <v>30</v>
      </c>
      <c r="G80" t="s">
        <v>42</v>
      </c>
      <c r="H80" t="s">
        <v>45</v>
      </c>
      <c r="I80">
        <v>7</v>
      </c>
      <c r="J80">
        <v>30024</v>
      </c>
      <c r="K80">
        <v>210168</v>
      </c>
      <c r="L80">
        <v>162321.74</v>
      </c>
      <c r="M80">
        <v>47846.26</v>
      </c>
      <c r="N80" t="s">
        <v>51</v>
      </c>
    </row>
    <row r="81" spans="1:14" x14ac:dyDescent="0.3">
      <c r="A81">
        <v>1080</v>
      </c>
      <c r="B81" s="2">
        <v>45359</v>
      </c>
      <c r="C81" t="s">
        <v>14</v>
      </c>
      <c r="D81" t="s">
        <v>23</v>
      </c>
      <c r="E81" t="s">
        <v>24</v>
      </c>
      <c r="F81" t="s">
        <v>29</v>
      </c>
      <c r="G81" t="s">
        <v>33</v>
      </c>
      <c r="H81" t="s">
        <v>49</v>
      </c>
      <c r="I81">
        <v>2</v>
      </c>
      <c r="J81">
        <v>45548</v>
      </c>
      <c r="K81">
        <v>91096</v>
      </c>
      <c r="L81">
        <v>59973.59</v>
      </c>
      <c r="M81">
        <v>31122.41</v>
      </c>
      <c r="N81" t="s">
        <v>50</v>
      </c>
    </row>
    <row r="82" spans="1:14" x14ac:dyDescent="0.3">
      <c r="A82">
        <v>1081</v>
      </c>
      <c r="B82" s="2">
        <v>45307</v>
      </c>
      <c r="C82" t="s">
        <v>14</v>
      </c>
      <c r="D82" t="s">
        <v>20</v>
      </c>
      <c r="E82" t="s">
        <v>27</v>
      </c>
      <c r="F82" t="s">
        <v>29</v>
      </c>
      <c r="G82" t="s">
        <v>36</v>
      </c>
      <c r="H82" t="s">
        <v>44</v>
      </c>
      <c r="I82">
        <v>5</v>
      </c>
      <c r="J82">
        <v>54674</v>
      </c>
      <c r="K82">
        <v>273370</v>
      </c>
      <c r="L82">
        <v>173742.78</v>
      </c>
      <c r="M82">
        <v>99627.22</v>
      </c>
      <c r="N82" t="s">
        <v>51</v>
      </c>
    </row>
    <row r="83" spans="1:14" x14ac:dyDescent="0.3">
      <c r="A83">
        <v>1082</v>
      </c>
      <c r="B83" s="2">
        <v>45395</v>
      </c>
      <c r="C83" t="s">
        <v>16</v>
      </c>
      <c r="D83" t="s">
        <v>19</v>
      </c>
      <c r="E83" t="s">
        <v>27</v>
      </c>
      <c r="F83" t="s">
        <v>31</v>
      </c>
      <c r="G83" t="s">
        <v>39</v>
      </c>
      <c r="H83" t="s">
        <v>46</v>
      </c>
      <c r="I83">
        <v>8</v>
      </c>
      <c r="J83">
        <v>45633</v>
      </c>
      <c r="K83">
        <v>365064</v>
      </c>
      <c r="L83">
        <v>246791.59</v>
      </c>
      <c r="M83">
        <v>118272.41</v>
      </c>
      <c r="N83" t="s">
        <v>51</v>
      </c>
    </row>
    <row r="84" spans="1:14" x14ac:dyDescent="0.3">
      <c r="A84">
        <v>1083</v>
      </c>
      <c r="B84" s="2">
        <v>45356</v>
      </c>
      <c r="C84" t="s">
        <v>15</v>
      </c>
      <c r="D84" t="s">
        <v>22</v>
      </c>
      <c r="E84" t="s">
        <v>25</v>
      </c>
      <c r="F84" t="s">
        <v>30</v>
      </c>
      <c r="G84" t="s">
        <v>42</v>
      </c>
      <c r="H84" t="s">
        <v>44</v>
      </c>
      <c r="I84">
        <v>7</v>
      </c>
      <c r="J84">
        <v>48638</v>
      </c>
      <c r="K84">
        <v>340466</v>
      </c>
      <c r="L84">
        <v>231714.49</v>
      </c>
      <c r="M84">
        <v>108751.51</v>
      </c>
      <c r="N84" t="s">
        <v>50</v>
      </c>
    </row>
    <row r="85" spans="1:14" x14ac:dyDescent="0.3">
      <c r="A85">
        <v>1084</v>
      </c>
      <c r="B85" s="2">
        <v>45336</v>
      </c>
      <c r="C85" t="s">
        <v>17</v>
      </c>
      <c r="D85" t="s">
        <v>19</v>
      </c>
      <c r="E85" t="s">
        <v>28</v>
      </c>
      <c r="F85" t="s">
        <v>29</v>
      </c>
      <c r="G85" t="s">
        <v>38</v>
      </c>
      <c r="H85" t="s">
        <v>46</v>
      </c>
      <c r="I85">
        <v>10</v>
      </c>
      <c r="J85">
        <v>3136</v>
      </c>
      <c r="K85">
        <v>31360</v>
      </c>
      <c r="L85">
        <v>24798.77</v>
      </c>
      <c r="M85">
        <v>6561.23</v>
      </c>
      <c r="N85" t="s">
        <v>51</v>
      </c>
    </row>
    <row r="86" spans="1:14" x14ac:dyDescent="0.3">
      <c r="A86">
        <v>1085</v>
      </c>
      <c r="B86" s="2">
        <v>45396</v>
      </c>
      <c r="C86" t="s">
        <v>16</v>
      </c>
      <c r="D86" t="s">
        <v>20</v>
      </c>
      <c r="E86" t="s">
        <v>28</v>
      </c>
      <c r="F86" t="s">
        <v>30</v>
      </c>
      <c r="G86" t="s">
        <v>34</v>
      </c>
      <c r="H86" t="s">
        <v>48</v>
      </c>
      <c r="I86">
        <v>8</v>
      </c>
      <c r="J86">
        <v>6479</v>
      </c>
      <c r="K86">
        <v>51832</v>
      </c>
      <c r="L86">
        <v>37189.589999999997</v>
      </c>
      <c r="M86">
        <v>14642.41</v>
      </c>
      <c r="N86" t="s">
        <v>50</v>
      </c>
    </row>
    <row r="87" spans="1:14" x14ac:dyDescent="0.3">
      <c r="A87">
        <v>1086</v>
      </c>
      <c r="B87" s="2">
        <v>45394</v>
      </c>
      <c r="C87" t="s">
        <v>15</v>
      </c>
      <c r="D87" t="s">
        <v>23</v>
      </c>
      <c r="E87" t="s">
        <v>24</v>
      </c>
      <c r="F87" t="s">
        <v>31</v>
      </c>
      <c r="G87" t="s">
        <v>41</v>
      </c>
      <c r="H87" t="s">
        <v>45</v>
      </c>
      <c r="I87">
        <v>8</v>
      </c>
      <c r="J87">
        <v>19388</v>
      </c>
      <c r="K87">
        <v>155104</v>
      </c>
      <c r="L87">
        <v>118754.74</v>
      </c>
      <c r="M87">
        <v>36349.26</v>
      </c>
      <c r="N87" t="s">
        <v>51</v>
      </c>
    </row>
    <row r="88" spans="1:14" x14ac:dyDescent="0.3">
      <c r="A88">
        <v>1087</v>
      </c>
      <c r="B88" s="2">
        <v>45292</v>
      </c>
      <c r="C88" t="s">
        <v>17</v>
      </c>
      <c r="D88" t="s">
        <v>23</v>
      </c>
      <c r="E88" t="s">
        <v>24</v>
      </c>
      <c r="F88" t="s">
        <v>31</v>
      </c>
      <c r="G88" t="s">
        <v>39</v>
      </c>
      <c r="H88" t="s">
        <v>47</v>
      </c>
      <c r="I88">
        <v>7</v>
      </c>
      <c r="J88">
        <v>57182</v>
      </c>
      <c r="K88">
        <v>400274</v>
      </c>
      <c r="L88">
        <v>291659.28000000003</v>
      </c>
      <c r="M88">
        <v>108614.72</v>
      </c>
      <c r="N88" t="s">
        <v>51</v>
      </c>
    </row>
    <row r="89" spans="1:14" x14ac:dyDescent="0.3">
      <c r="A89">
        <v>1088</v>
      </c>
      <c r="B89" s="2">
        <v>45360</v>
      </c>
      <c r="C89" t="s">
        <v>14</v>
      </c>
      <c r="D89" t="s">
        <v>20</v>
      </c>
      <c r="E89" t="s">
        <v>26</v>
      </c>
      <c r="F89" t="s">
        <v>29</v>
      </c>
      <c r="G89" t="s">
        <v>33</v>
      </c>
      <c r="H89" t="s">
        <v>44</v>
      </c>
      <c r="I89">
        <v>8</v>
      </c>
      <c r="J89">
        <v>50306</v>
      </c>
      <c r="K89">
        <v>402448</v>
      </c>
      <c r="L89">
        <v>246661.56</v>
      </c>
      <c r="M89">
        <v>155786.44</v>
      </c>
      <c r="N89" t="s">
        <v>51</v>
      </c>
    </row>
    <row r="90" spans="1:14" x14ac:dyDescent="0.3">
      <c r="A90">
        <v>1089</v>
      </c>
      <c r="B90" s="2">
        <v>45332</v>
      </c>
      <c r="C90" t="s">
        <v>16</v>
      </c>
      <c r="D90" t="s">
        <v>19</v>
      </c>
      <c r="E90" t="s">
        <v>24</v>
      </c>
      <c r="F90" t="s">
        <v>30</v>
      </c>
      <c r="G90" t="s">
        <v>42</v>
      </c>
      <c r="H90" t="s">
        <v>49</v>
      </c>
      <c r="I90">
        <v>10</v>
      </c>
      <c r="J90">
        <v>52883</v>
      </c>
      <c r="K90">
        <v>528830</v>
      </c>
      <c r="L90">
        <v>348934.92</v>
      </c>
      <c r="M90">
        <v>179895.08</v>
      </c>
      <c r="N90" t="s">
        <v>51</v>
      </c>
    </row>
    <row r="91" spans="1:14" x14ac:dyDescent="0.3">
      <c r="A91">
        <v>1090</v>
      </c>
      <c r="B91" s="2">
        <v>45457</v>
      </c>
      <c r="C91" t="s">
        <v>14</v>
      </c>
      <c r="D91" t="s">
        <v>23</v>
      </c>
      <c r="E91" t="s">
        <v>28</v>
      </c>
      <c r="F91" t="s">
        <v>30</v>
      </c>
      <c r="G91" t="s">
        <v>35</v>
      </c>
      <c r="H91" t="s">
        <v>45</v>
      </c>
      <c r="I91">
        <v>2</v>
      </c>
      <c r="J91">
        <v>30741</v>
      </c>
      <c r="K91">
        <v>61482</v>
      </c>
      <c r="L91">
        <v>51446</v>
      </c>
      <c r="M91">
        <v>10036</v>
      </c>
      <c r="N91" t="s">
        <v>51</v>
      </c>
    </row>
    <row r="92" spans="1:14" x14ac:dyDescent="0.3">
      <c r="A92">
        <v>1091</v>
      </c>
      <c r="B92" s="2">
        <v>45329</v>
      </c>
      <c r="C92" t="s">
        <v>17</v>
      </c>
      <c r="D92" t="s">
        <v>21</v>
      </c>
      <c r="E92" t="s">
        <v>27</v>
      </c>
      <c r="F92" t="s">
        <v>31</v>
      </c>
      <c r="G92" t="s">
        <v>41</v>
      </c>
      <c r="H92" t="s">
        <v>49</v>
      </c>
      <c r="I92">
        <v>8</v>
      </c>
      <c r="J92">
        <v>16473</v>
      </c>
      <c r="K92">
        <v>131784</v>
      </c>
      <c r="L92">
        <v>94119.69</v>
      </c>
      <c r="M92">
        <v>37664.31</v>
      </c>
      <c r="N92" t="s">
        <v>50</v>
      </c>
    </row>
    <row r="93" spans="1:14" x14ac:dyDescent="0.3">
      <c r="A93">
        <v>1092</v>
      </c>
      <c r="B93" s="2">
        <v>45421</v>
      </c>
      <c r="C93" t="s">
        <v>16</v>
      </c>
      <c r="D93" t="s">
        <v>22</v>
      </c>
      <c r="E93" t="s">
        <v>20</v>
      </c>
      <c r="F93" t="s">
        <v>30</v>
      </c>
      <c r="G93" t="s">
        <v>40</v>
      </c>
      <c r="H93" t="s">
        <v>44</v>
      </c>
      <c r="I93">
        <v>7</v>
      </c>
      <c r="J93">
        <v>22774</v>
      </c>
      <c r="K93">
        <v>159418</v>
      </c>
      <c r="L93">
        <v>132884.79999999999</v>
      </c>
      <c r="M93">
        <v>26533.200000000001</v>
      </c>
      <c r="N93" t="s">
        <v>51</v>
      </c>
    </row>
    <row r="94" spans="1:14" x14ac:dyDescent="0.3">
      <c r="A94">
        <v>1093</v>
      </c>
      <c r="B94" s="2">
        <v>45380</v>
      </c>
      <c r="C94" t="s">
        <v>16</v>
      </c>
      <c r="D94" t="s">
        <v>19</v>
      </c>
      <c r="E94" t="s">
        <v>27</v>
      </c>
      <c r="F94" t="s">
        <v>29</v>
      </c>
      <c r="G94" t="s">
        <v>33</v>
      </c>
      <c r="H94" t="s">
        <v>46</v>
      </c>
      <c r="I94">
        <v>3</v>
      </c>
      <c r="J94">
        <v>29764</v>
      </c>
      <c r="K94">
        <v>89292</v>
      </c>
      <c r="L94">
        <v>65597.929999999993</v>
      </c>
      <c r="M94">
        <v>23694.07</v>
      </c>
      <c r="N94" t="s">
        <v>51</v>
      </c>
    </row>
    <row r="95" spans="1:14" x14ac:dyDescent="0.3">
      <c r="A95">
        <v>1094</v>
      </c>
      <c r="B95" s="2">
        <v>45397</v>
      </c>
      <c r="C95" t="s">
        <v>15</v>
      </c>
      <c r="D95" t="s">
        <v>20</v>
      </c>
      <c r="E95" t="s">
        <v>28</v>
      </c>
      <c r="F95" t="s">
        <v>31</v>
      </c>
      <c r="G95" t="s">
        <v>43</v>
      </c>
      <c r="H95" t="s">
        <v>46</v>
      </c>
      <c r="I95">
        <v>4</v>
      </c>
      <c r="J95">
        <v>37973</v>
      </c>
      <c r="K95">
        <v>151892</v>
      </c>
      <c r="L95">
        <v>105677.75</v>
      </c>
      <c r="M95">
        <v>46214.25</v>
      </c>
      <c r="N95" t="s">
        <v>51</v>
      </c>
    </row>
    <row r="96" spans="1:14" x14ac:dyDescent="0.3">
      <c r="A96">
        <v>1095</v>
      </c>
      <c r="B96" s="2">
        <v>45443</v>
      </c>
      <c r="C96" t="s">
        <v>16</v>
      </c>
      <c r="D96" t="s">
        <v>22</v>
      </c>
      <c r="E96" t="s">
        <v>26</v>
      </c>
      <c r="F96" t="s">
        <v>31</v>
      </c>
      <c r="G96" t="s">
        <v>43</v>
      </c>
      <c r="H96" t="s">
        <v>48</v>
      </c>
      <c r="I96">
        <v>8</v>
      </c>
      <c r="J96">
        <v>2926</v>
      </c>
      <c r="K96">
        <v>23408</v>
      </c>
      <c r="L96">
        <v>14783.59</v>
      </c>
      <c r="M96">
        <v>8624.41</v>
      </c>
      <c r="N96" t="s">
        <v>51</v>
      </c>
    </row>
    <row r="97" spans="1:14" x14ac:dyDescent="0.3">
      <c r="A97">
        <v>1096</v>
      </c>
      <c r="B97" s="2">
        <v>45331</v>
      </c>
      <c r="C97" t="s">
        <v>15</v>
      </c>
      <c r="D97" t="s">
        <v>23</v>
      </c>
      <c r="E97" t="s">
        <v>20</v>
      </c>
      <c r="F97" t="s">
        <v>30</v>
      </c>
      <c r="G97" t="s">
        <v>35</v>
      </c>
      <c r="H97" t="s">
        <v>45</v>
      </c>
      <c r="I97">
        <v>7</v>
      </c>
      <c r="J97">
        <v>57577</v>
      </c>
      <c r="K97">
        <v>403039</v>
      </c>
      <c r="L97">
        <v>307799</v>
      </c>
      <c r="M97">
        <v>95240</v>
      </c>
      <c r="N97" t="s">
        <v>51</v>
      </c>
    </row>
    <row r="98" spans="1:14" x14ac:dyDescent="0.3">
      <c r="A98">
        <v>1097</v>
      </c>
      <c r="B98" s="2">
        <v>45428</v>
      </c>
      <c r="C98" t="s">
        <v>17</v>
      </c>
      <c r="D98" t="s">
        <v>20</v>
      </c>
      <c r="E98" t="s">
        <v>28</v>
      </c>
      <c r="F98" t="s">
        <v>29</v>
      </c>
      <c r="G98" t="s">
        <v>32</v>
      </c>
      <c r="H98" t="s">
        <v>44</v>
      </c>
      <c r="I98">
        <v>6</v>
      </c>
      <c r="J98">
        <v>56359</v>
      </c>
      <c r="K98">
        <v>338154</v>
      </c>
      <c r="L98">
        <v>259901.57</v>
      </c>
      <c r="M98">
        <v>78252.429999999993</v>
      </c>
      <c r="N98" t="s">
        <v>51</v>
      </c>
    </row>
    <row r="99" spans="1:14" x14ac:dyDescent="0.3">
      <c r="A99">
        <v>1098</v>
      </c>
      <c r="B99" s="2">
        <v>45467</v>
      </c>
      <c r="C99" t="s">
        <v>16</v>
      </c>
      <c r="D99" t="s">
        <v>21</v>
      </c>
      <c r="E99" t="s">
        <v>28</v>
      </c>
      <c r="F99" t="s">
        <v>29</v>
      </c>
      <c r="G99" t="s">
        <v>32</v>
      </c>
      <c r="H99" t="s">
        <v>48</v>
      </c>
      <c r="I99">
        <v>10</v>
      </c>
      <c r="J99">
        <v>4984</v>
      </c>
      <c r="K99">
        <v>49840</v>
      </c>
      <c r="L99">
        <v>32829.24</v>
      </c>
      <c r="M99">
        <v>17010.759999999998</v>
      </c>
      <c r="N99" t="s">
        <v>51</v>
      </c>
    </row>
    <row r="100" spans="1:14" x14ac:dyDescent="0.3">
      <c r="A100">
        <v>1099</v>
      </c>
      <c r="B100" s="2">
        <v>45299</v>
      </c>
      <c r="C100" t="s">
        <v>15</v>
      </c>
      <c r="D100" t="s">
        <v>20</v>
      </c>
      <c r="E100" t="s">
        <v>24</v>
      </c>
      <c r="F100" t="s">
        <v>30</v>
      </c>
      <c r="G100" t="s">
        <v>42</v>
      </c>
      <c r="H100" t="s">
        <v>45</v>
      </c>
      <c r="I100">
        <v>8</v>
      </c>
      <c r="J100">
        <v>11402</v>
      </c>
      <c r="K100">
        <v>91216</v>
      </c>
      <c r="L100">
        <v>70555.600000000006</v>
      </c>
      <c r="M100">
        <v>20660.400000000001</v>
      </c>
      <c r="N100" t="s">
        <v>51</v>
      </c>
    </row>
    <row r="101" spans="1:14" x14ac:dyDescent="0.3">
      <c r="A101">
        <v>1100</v>
      </c>
      <c r="B101" s="2">
        <v>45436</v>
      </c>
      <c r="C101" t="s">
        <v>14</v>
      </c>
      <c r="D101" t="s">
        <v>21</v>
      </c>
      <c r="E101" t="s">
        <v>25</v>
      </c>
      <c r="F101" t="s">
        <v>31</v>
      </c>
      <c r="G101" t="s">
        <v>41</v>
      </c>
      <c r="H101" t="s">
        <v>48</v>
      </c>
      <c r="I101">
        <v>3</v>
      </c>
      <c r="J101">
        <v>16503</v>
      </c>
      <c r="K101">
        <v>49509</v>
      </c>
      <c r="L101">
        <v>36279.78</v>
      </c>
      <c r="M101">
        <v>13229.22</v>
      </c>
      <c r="N101" t="s">
        <v>51</v>
      </c>
    </row>
    <row r="102" spans="1:14" x14ac:dyDescent="0.3">
      <c r="A102">
        <v>1101</v>
      </c>
      <c r="B102" s="2">
        <v>45410</v>
      </c>
      <c r="C102" t="s">
        <v>16</v>
      </c>
      <c r="D102" t="s">
        <v>23</v>
      </c>
      <c r="E102" t="s">
        <v>20</v>
      </c>
      <c r="F102" t="s">
        <v>29</v>
      </c>
      <c r="G102" t="s">
        <v>36</v>
      </c>
      <c r="H102" t="s">
        <v>44</v>
      </c>
      <c r="I102">
        <v>8</v>
      </c>
      <c r="J102">
        <v>38717</v>
      </c>
      <c r="K102">
        <v>309736</v>
      </c>
      <c r="L102">
        <v>196923.78</v>
      </c>
      <c r="M102">
        <v>112812.22</v>
      </c>
      <c r="N102" t="s">
        <v>50</v>
      </c>
    </row>
    <row r="103" spans="1:14" x14ac:dyDescent="0.3">
      <c r="A103">
        <v>1102</v>
      </c>
      <c r="B103" s="2">
        <v>45380</v>
      </c>
      <c r="C103" t="s">
        <v>16</v>
      </c>
      <c r="D103" t="s">
        <v>18</v>
      </c>
      <c r="E103" t="s">
        <v>26</v>
      </c>
      <c r="F103" t="s">
        <v>31</v>
      </c>
      <c r="G103" t="s">
        <v>37</v>
      </c>
      <c r="H103" t="s">
        <v>44</v>
      </c>
      <c r="I103">
        <v>9</v>
      </c>
      <c r="J103">
        <v>10853</v>
      </c>
      <c r="K103">
        <v>97677</v>
      </c>
      <c r="L103">
        <v>60409.85</v>
      </c>
      <c r="M103">
        <v>37267.15</v>
      </c>
      <c r="N103" t="s">
        <v>51</v>
      </c>
    </row>
    <row r="104" spans="1:14" x14ac:dyDescent="0.3">
      <c r="A104">
        <v>1103</v>
      </c>
      <c r="B104" s="2">
        <v>45319</v>
      </c>
      <c r="C104" t="s">
        <v>14</v>
      </c>
      <c r="D104" t="s">
        <v>23</v>
      </c>
      <c r="E104" t="s">
        <v>27</v>
      </c>
      <c r="F104" t="s">
        <v>31</v>
      </c>
      <c r="G104" t="s">
        <v>37</v>
      </c>
      <c r="H104" t="s">
        <v>45</v>
      </c>
      <c r="I104">
        <v>4</v>
      </c>
      <c r="J104">
        <v>25711</v>
      </c>
      <c r="K104">
        <v>102844</v>
      </c>
      <c r="L104">
        <v>83646.509999999995</v>
      </c>
      <c r="M104">
        <v>19197.490000000002</v>
      </c>
      <c r="N104" t="s">
        <v>51</v>
      </c>
    </row>
    <row r="105" spans="1:14" x14ac:dyDescent="0.3">
      <c r="A105">
        <v>1104</v>
      </c>
      <c r="B105" s="2">
        <v>45362</v>
      </c>
      <c r="C105" t="s">
        <v>15</v>
      </c>
      <c r="D105" t="s">
        <v>19</v>
      </c>
      <c r="E105" t="s">
        <v>28</v>
      </c>
      <c r="F105" t="s">
        <v>29</v>
      </c>
      <c r="G105" t="s">
        <v>38</v>
      </c>
      <c r="H105" t="s">
        <v>44</v>
      </c>
      <c r="I105">
        <v>1</v>
      </c>
      <c r="J105">
        <v>54897</v>
      </c>
      <c r="K105">
        <v>54897</v>
      </c>
      <c r="L105">
        <v>41971.91</v>
      </c>
      <c r="M105">
        <v>12925.09</v>
      </c>
      <c r="N105" t="s">
        <v>50</v>
      </c>
    </row>
    <row r="106" spans="1:14" x14ac:dyDescent="0.3">
      <c r="A106">
        <v>1105</v>
      </c>
      <c r="B106" s="2">
        <v>45447</v>
      </c>
      <c r="C106" t="s">
        <v>16</v>
      </c>
      <c r="D106" t="s">
        <v>21</v>
      </c>
      <c r="E106" t="s">
        <v>28</v>
      </c>
      <c r="F106" t="s">
        <v>29</v>
      </c>
      <c r="G106" t="s">
        <v>33</v>
      </c>
      <c r="H106" t="s">
        <v>47</v>
      </c>
      <c r="I106">
        <v>5</v>
      </c>
      <c r="J106">
        <v>51338</v>
      </c>
      <c r="K106">
        <v>256690</v>
      </c>
      <c r="L106">
        <v>205278.85</v>
      </c>
      <c r="M106">
        <v>51411.15</v>
      </c>
      <c r="N106" t="s">
        <v>51</v>
      </c>
    </row>
    <row r="107" spans="1:14" x14ac:dyDescent="0.3">
      <c r="A107">
        <v>1106</v>
      </c>
      <c r="B107" s="2">
        <v>45302</v>
      </c>
      <c r="C107" t="s">
        <v>16</v>
      </c>
      <c r="D107" t="s">
        <v>23</v>
      </c>
      <c r="E107" t="s">
        <v>24</v>
      </c>
      <c r="F107" t="s">
        <v>29</v>
      </c>
      <c r="G107" t="s">
        <v>36</v>
      </c>
      <c r="H107" t="s">
        <v>49</v>
      </c>
      <c r="I107">
        <v>2</v>
      </c>
      <c r="J107">
        <v>59705</v>
      </c>
      <c r="K107">
        <v>119410</v>
      </c>
      <c r="L107">
        <v>90377.19</v>
      </c>
      <c r="M107">
        <v>29032.81</v>
      </c>
      <c r="N107" t="s">
        <v>51</v>
      </c>
    </row>
    <row r="108" spans="1:14" x14ac:dyDescent="0.3">
      <c r="A108">
        <v>1107</v>
      </c>
      <c r="B108" s="2">
        <v>45398</v>
      </c>
      <c r="C108" t="s">
        <v>14</v>
      </c>
      <c r="D108" t="s">
        <v>21</v>
      </c>
      <c r="E108" t="s">
        <v>25</v>
      </c>
      <c r="F108" t="s">
        <v>29</v>
      </c>
      <c r="G108" t="s">
        <v>36</v>
      </c>
      <c r="H108" t="s">
        <v>49</v>
      </c>
      <c r="I108">
        <v>2</v>
      </c>
      <c r="J108">
        <v>19840</v>
      </c>
      <c r="K108">
        <v>39680</v>
      </c>
      <c r="L108">
        <v>27049.05</v>
      </c>
      <c r="M108">
        <v>12630.95</v>
      </c>
      <c r="N108" t="s">
        <v>51</v>
      </c>
    </row>
    <row r="109" spans="1:14" x14ac:dyDescent="0.3">
      <c r="A109">
        <v>1108</v>
      </c>
      <c r="B109" s="2">
        <v>45415</v>
      </c>
      <c r="C109" t="s">
        <v>16</v>
      </c>
      <c r="D109" t="s">
        <v>18</v>
      </c>
      <c r="E109" t="s">
        <v>20</v>
      </c>
      <c r="F109" t="s">
        <v>29</v>
      </c>
      <c r="G109" t="s">
        <v>38</v>
      </c>
      <c r="H109" t="s">
        <v>48</v>
      </c>
      <c r="I109">
        <v>3</v>
      </c>
      <c r="J109">
        <v>17340</v>
      </c>
      <c r="K109">
        <v>52020</v>
      </c>
      <c r="L109">
        <v>43099.21</v>
      </c>
      <c r="M109">
        <v>8920.7900000000009</v>
      </c>
      <c r="N109" t="s">
        <v>51</v>
      </c>
    </row>
    <row r="110" spans="1:14" x14ac:dyDescent="0.3">
      <c r="A110">
        <v>1109</v>
      </c>
      <c r="B110" s="2">
        <v>45464</v>
      </c>
      <c r="C110" t="s">
        <v>17</v>
      </c>
      <c r="D110" t="s">
        <v>19</v>
      </c>
      <c r="E110" t="s">
        <v>20</v>
      </c>
      <c r="F110" t="s">
        <v>30</v>
      </c>
      <c r="G110" t="s">
        <v>35</v>
      </c>
      <c r="H110" t="s">
        <v>48</v>
      </c>
      <c r="I110">
        <v>4</v>
      </c>
      <c r="J110">
        <v>56870</v>
      </c>
      <c r="K110">
        <v>227480</v>
      </c>
      <c r="L110">
        <v>174950.53</v>
      </c>
      <c r="M110">
        <v>52529.47</v>
      </c>
      <c r="N110" t="s">
        <v>51</v>
      </c>
    </row>
    <row r="111" spans="1:14" x14ac:dyDescent="0.3">
      <c r="A111">
        <v>1110</v>
      </c>
      <c r="B111" s="2">
        <v>45464</v>
      </c>
      <c r="C111" t="s">
        <v>16</v>
      </c>
      <c r="D111" t="s">
        <v>19</v>
      </c>
      <c r="E111" t="s">
        <v>26</v>
      </c>
      <c r="F111" t="s">
        <v>30</v>
      </c>
      <c r="G111" t="s">
        <v>40</v>
      </c>
      <c r="H111" t="s">
        <v>44</v>
      </c>
      <c r="I111">
        <v>9</v>
      </c>
      <c r="J111">
        <v>8599</v>
      </c>
      <c r="K111">
        <v>77391</v>
      </c>
      <c r="L111">
        <v>55233.69</v>
      </c>
      <c r="M111">
        <v>22157.31</v>
      </c>
      <c r="N111" t="s">
        <v>51</v>
      </c>
    </row>
    <row r="112" spans="1:14" x14ac:dyDescent="0.3">
      <c r="A112">
        <v>1111</v>
      </c>
      <c r="B112" s="2">
        <v>45435</v>
      </c>
      <c r="C112" t="s">
        <v>16</v>
      </c>
      <c r="D112" t="s">
        <v>19</v>
      </c>
      <c r="E112" t="s">
        <v>25</v>
      </c>
      <c r="F112" t="s">
        <v>30</v>
      </c>
      <c r="G112" t="s">
        <v>35</v>
      </c>
      <c r="H112" t="s">
        <v>44</v>
      </c>
      <c r="I112">
        <v>8</v>
      </c>
      <c r="J112">
        <v>2140</v>
      </c>
      <c r="K112">
        <v>17120</v>
      </c>
      <c r="L112">
        <v>12923.66</v>
      </c>
      <c r="M112">
        <v>4196.34</v>
      </c>
      <c r="N112" t="s">
        <v>50</v>
      </c>
    </row>
    <row r="113" spans="1:14" x14ac:dyDescent="0.3">
      <c r="A113">
        <v>1112</v>
      </c>
      <c r="B113" s="2">
        <v>45327</v>
      </c>
      <c r="C113" t="s">
        <v>15</v>
      </c>
      <c r="D113" t="s">
        <v>22</v>
      </c>
      <c r="E113" t="s">
        <v>20</v>
      </c>
      <c r="F113" t="s">
        <v>29</v>
      </c>
      <c r="G113" t="s">
        <v>33</v>
      </c>
      <c r="H113" t="s">
        <v>46</v>
      </c>
      <c r="I113">
        <v>5</v>
      </c>
      <c r="J113">
        <v>43048</v>
      </c>
      <c r="K113">
        <v>215240</v>
      </c>
      <c r="L113">
        <v>151114.4</v>
      </c>
      <c r="M113">
        <v>64125.599999999999</v>
      </c>
      <c r="N113" t="s">
        <v>50</v>
      </c>
    </row>
    <row r="114" spans="1:14" x14ac:dyDescent="0.3">
      <c r="A114">
        <v>1113</v>
      </c>
      <c r="B114" s="2">
        <v>45386</v>
      </c>
      <c r="C114" t="s">
        <v>17</v>
      </c>
      <c r="D114" t="s">
        <v>19</v>
      </c>
      <c r="E114" t="s">
        <v>28</v>
      </c>
      <c r="F114" t="s">
        <v>30</v>
      </c>
      <c r="G114" t="s">
        <v>35</v>
      </c>
      <c r="H114" t="s">
        <v>44</v>
      </c>
      <c r="I114">
        <v>9</v>
      </c>
      <c r="J114">
        <v>9390</v>
      </c>
      <c r="K114">
        <v>84510</v>
      </c>
      <c r="L114">
        <v>58917.11</v>
      </c>
      <c r="M114">
        <v>25592.89</v>
      </c>
      <c r="N114" t="s">
        <v>50</v>
      </c>
    </row>
    <row r="115" spans="1:14" x14ac:dyDescent="0.3">
      <c r="A115">
        <v>1114</v>
      </c>
      <c r="B115" s="2">
        <v>45363</v>
      </c>
      <c r="C115" t="s">
        <v>15</v>
      </c>
      <c r="D115" t="s">
        <v>18</v>
      </c>
      <c r="E115" t="s">
        <v>20</v>
      </c>
      <c r="F115" t="s">
        <v>31</v>
      </c>
      <c r="G115" t="s">
        <v>39</v>
      </c>
      <c r="H115" t="s">
        <v>47</v>
      </c>
      <c r="I115">
        <v>8</v>
      </c>
      <c r="J115">
        <v>40847</v>
      </c>
      <c r="K115">
        <v>326776</v>
      </c>
      <c r="L115">
        <v>229406.22</v>
      </c>
      <c r="M115">
        <v>97369.78</v>
      </c>
      <c r="N115" t="s">
        <v>51</v>
      </c>
    </row>
    <row r="116" spans="1:14" x14ac:dyDescent="0.3">
      <c r="A116">
        <v>1115</v>
      </c>
      <c r="B116" s="2">
        <v>45386</v>
      </c>
      <c r="C116" t="s">
        <v>16</v>
      </c>
      <c r="D116" t="s">
        <v>22</v>
      </c>
      <c r="E116" t="s">
        <v>26</v>
      </c>
      <c r="F116" t="s">
        <v>31</v>
      </c>
      <c r="G116" t="s">
        <v>43</v>
      </c>
      <c r="H116" t="s">
        <v>45</v>
      </c>
      <c r="I116">
        <v>6</v>
      </c>
      <c r="J116">
        <v>7011</v>
      </c>
      <c r="K116">
        <v>42066</v>
      </c>
      <c r="L116">
        <v>35555.53</v>
      </c>
      <c r="M116">
        <v>6510.47</v>
      </c>
      <c r="N116" t="s">
        <v>50</v>
      </c>
    </row>
    <row r="117" spans="1:14" x14ac:dyDescent="0.3">
      <c r="A117">
        <v>1116</v>
      </c>
      <c r="B117" s="2">
        <v>45455</v>
      </c>
      <c r="C117" t="s">
        <v>15</v>
      </c>
      <c r="D117" t="s">
        <v>22</v>
      </c>
      <c r="E117" t="s">
        <v>20</v>
      </c>
      <c r="F117" t="s">
        <v>30</v>
      </c>
      <c r="G117" t="s">
        <v>34</v>
      </c>
      <c r="H117" t="s">
        <v>47</v>
      </c>
      <c r="I117">
        <v>2</v>
      </c>
      <c r="J117">
        <v>43935</v>
      </c>
      <c r="K117">
        <v>87870</v>
      </c>
      <c r="L117">
        <v>57381.43</v>
      </c>
      <c r="M117">
        <v>30488.57</v>
      </c>
      <c r="N117" t="s">
        <v>50</v>
      </c>
    </row>
    <row r="118" spans="1:14" x14ac:dyDescent="0.3">
      <c r="A118">
        <v>1117</v>
      </c>
      <c r="B118" s="2">
        <v>45345</v>
      </c>
      <c r="C118" t="s">
        <v>14</v>
      </c>
      <c r="D118" t="s">
        <v>21</v>
      </c>
      <c r="E118" t="s">
        <v>20</v>
      </c>
      <c r="F118" t="s">
        <v>29</v>
      </c>
      <c r="G118" t="s">
        <v>36</v>
      </c>
      <c r="H118" t="s">
        <v>47</v>
      </c>
      <c r="I118">
        <v>2</v>
      </c>
      <c r="J118">
        <v>54882</v>
      </c>
      <c r="K118">
        <v>109764</v>
      </c>
      <c r="L118">
        <v>86855.08</v>
      </c>
      <c r="M118">
        <v>22908.92</v>
      </c>
      <c r="N118" t="s">
        <v>50</v>
      </c>
    </row>
    <row r="119" spans="1:14" x14ac:dyDescent="0.3">
      <c r="A119">
        <v>1118</v>
      </c>
      <c r="B119" s="2">
        <v>45336</v>
      </c>
      <c r="C119" t="s">
        <v>15</v>
      </c>
      <c r="D119" t="s">
        <v>18</v>
      </c>
      <c r="E119" t="s">
        <v>24</v>
      </c>
      <c r="F119" t="s">
        <v>31</v>
      </c>
      <c r="G119" t="s">
        <v>43</v>
      </c>
      <c r="H119" t="s">
        <v>47</v>
      </c>
      <c r="I119">
        <v>3</v>
      </c>
      <c r="J119">
        <v>35903</v>
      </c>
      <c r="K119">
        <v>107709</v>
      </c>
      <c r="L119">
        <v>71374.83</v>
      </c>
      <c r="M119">
        <v>36334.17</v>
      </c>
      <c r="N119" t="s">
        <v>50</v>
      </c>
    </row>
    <row r="120" spans="1:14" x14ac:dyDescent="0.3">
      <c r="A120">
        <v>1119</v>
      </c>
      <c r="B120" s="2">
        <v>45359</v>
      </c>
      <c r="C120" t="s">
        <v>15</v>
      </c>
      <c r="D120" t="s">
        <v>21</v>
      </c>
      <c r="E120" t="s">
        <v>28</v>
      </c>
      <c r="F120" t="s">
        <v>31</v>
      </c>
      <c r="G120" t="s">
        <v>43</v>
      </c>
      <c r="H120" t="s">
        <v>46</v>
      </c>
      <c r="I120">
        <v>10</v>
      </c>
      <c r="J120">
        <v>21718</v>
      </c>
      <c r="K120">
        <v>217180</v>
      </c>
      <c r="L120">
        <v>131164.82999999999</v>
      </c>
      <c r="M120">
        <v>86015.17</v>
      </c>
      <c r="N120" t="s">
        <v>50</v>
      </c>
    </row>
    <row r="121" spans="1:14" x14ac:dyDescent="0.3">
      <c r="A121">
        <v>1120</v>
      </c>
      <c r="B121" s="2">
        <v>45423</v>
      </c>
      <c r="C121" t="s">
        <v>15</v>
      </c>
      <c r="D121" t="s">
        <v>23</v>
      </c>
      <c r="E121" t="s">
        <v>27</v>
      </c>
      <c r="F121" t="s">
        <v>29</v>
      </c>
      <c r="G121" t="s">
        <v>32</v>
      </c>
      <c r="H121" t="s">
        <v>47</v>
      </c>
      <c r="I121">
        <v>8</v>
      </c>
      <c r="J121">
        <v>29878</v>
      </c>
      <c r="K121">
        <v>239024</v>
      </c>
      <c r="L121">
        <v>189905.59</v>
      </c>
      <c r="M121">
        <v>49118.41</v>
      </c>
      <c r="N121" t="s">
        <v>50</v>
      </c>
    </row>
    <row r="122" spans="1:14" x14ac:dyDescent="0.3">
      <c r="A122">
        <v>1121</v>
      </c>
      <c r="B122" s="2">
        <v>45307</v>
      </c>
      <c r="C122" t="s">
        <v>17</v>
      </c>
      <c r="D122" t="s">
        <v>23</v>
      </c>
      <c r="E122" t="s">
        <v>26</v>
      </c>
      <c r="F122" t="s">
        <v>29</v>
      </c>
      <c r="G122" t="s">
        <v>38</v>
      </c>
      <c r="H122" t="s">
        <v>44</v>
      </c>
      <c r="I122">
        <v>8</v>
      </c>
      <c r="J122">
        <v>42661</v>
      </c>
      <c r="K122">
        <v>341288</v>
      </c>
      <c r="L122">
        <v>287025.44</v>
      </c>
      <c r="M122">
        <v>54262.559999999998</v>
      </c>
      <c r="N122" t="s">
        <v>50</v>
      </c>
    </row>
    <row r="123" spans="1:14" x14ac:dyDescent="0.3">
      <c r="A123">
        <v>1122</v>
      </c>
      <c r="B123" s="2">
        <v>45447</v>
      </c>
      <c r="C123" t="s">
        <v>14</v>
      </c>
      <c r="D123" t="s">
        <v>22</v>
      </c>
      <c r="E123" t="s">
        <v>25</v>
      </c>
      <c r="F123" t="s">
        <v>31</v>
      </c>
      <c r="G123" t="s">
        <v>41</v>
      </c>
      <c r="H123" t="s">
        <v>45</v>
      </c>
      <c r="I123">
        <v>2</v>
      </c>
      <c r="J123">
        <v>59434</v>
      </c>
      <c r="K123">
        <v>118868</v>
      </c>
      <c r="L123">
        <v>73721.649999999994</v>
      </c>
      <c r="M123">
        <v>45146.35</v>
      </c>
      <c r="N123" t="s">
        <v>51</v>
      </c>
    </row>
    <row r="124" spans="1:14" x14ac:dyDescent="0.3">
      <c r="A124">
        <v>1123</v>
      </c>
      <c r="B124" s="2">
        <v>45317</v>
      </c>
      <c r="C124" t="s">
        <v>15</v>
      </c>
      <c r="D124" t="s">
        <v>18</v>
      </c>
      <c r="E124" t="s">
        <v>28</v>
      </c>
      <c r="F124" t="s">
        <v>31</v>
      </c>
      <c r="G124" t="s">
        <v>37</v>
      </c>
      <c r="H124" t="s">
        <v>49</v>
      </c>
      <c r="I124">
        <v>8</v>
      </c>
      <c r="J124">
        <v>33631</v>
      </c>
      <c r="K124">
        <v>269048</v>
      </c>
      <c r="L124">
        <v>202151.02</v>
      </c>
      <c r="M124">
        <v>66896.98</v>
      </c>
      <c r="N124" t="s">
        <v>50</v>
      </c>
    </row>
    <row r="125" spans="1:14" x14ac:dyDescent="0.3">
      <c r="A125">
        <v>1124</v>
      </c>
      <c r="B125" s="2">
        <v>45408</v>
      </c>
      <c r="C125" t="s">
        <v>17</v>
      </c>
      <c r="D125" t="s">
        <v>23</v>
      </c>
      <c r="E125" t="s">
        <v>28</v>
      </c>
      <c r="F125" t="s">
        <v>31</v>
      </c>
      <c r="G125" t="s">
        <v>41</v>
      </c>
      <c r="H125" t="s">
        <v>48</v>
      </c>
      <c r="I125">
        <v>4</v>
      </c>
      <c r="J125">
        <v>27619</v>
      </c>
      <c r="K125">
        <v>110476</v>
      </c>
      <c r="L125">
        <v>75646.55</v>
      </c>
      <c r="M125">
        <v>34829.449999999997</v>
      </c>
      <c r="N125" t="s">
        <v>51</v>
      </c>
    </row>
    <row r="126" spans="1:14" x14ac:dyDescent="0.3">
      <c r="A126">
        <v>1125</v>
      </c>
      <c r="B126" s="2">
        <v>45467</v>
      </c>
      <c r="C126" t="s">
        <v>17</v>
      </c>
      <c r="D126" t="s">
        <v>22</v>
      </c>
      <c r="E126" t="s">
        <v>24</v>
      </c>
      <c r="F126" t="s">
        <v>31</v>
      </c>
      <c r="G126" t="s">
        <v>37</v>
      </c>
      <c r="H126" t="s">
        <v>48</v>
      </c>
      <c r="I126">
        <v>5</v>
      </c>
      <c r="J126">
        <v>25030</v>
      </c>
      <c r="K126">
        <v>125150</v>
      </c>
      <c r="L126">
        <v>104925.53</v>
      </c>
      <c r="M126">
        <v>20224.47</v>
      </c>
      <c r="N126" t="s">
        <v>50</v>
      </c>
    </row>
    <row r="127" spans="1:14" x14ac:dyDescent="0.3">
      <c r="A127">
        <v>1126</v>
      </c>
      <c r="B127" s="2">
        <v>45307</v>
      </c>
      <c r="C127" t="s">
        <v>16</v>
      </c>
      <c r="D127" t="s">
        <v>18</v>
      </c>
      <c r="E127" t="s">
        <v>24</v>
      </c>
      <c r="F127" t="s">
        <v>31</v>
      </c>
      <c r="G127" t="s">
        <v>39</v>
      </c>
      <c r="H127" t="s">
        <v>46</v>
      </c>
      <c r="I127">
        <v>6</v>
      </c>
      <c r="J127">
        <v>53700</v>
      </c>
      <c r="K127">
        <v>322200</v>
      </c>
      <c r="L127">
        <v>203800.8</v>
      </c>
      <c r="M127">
        <v>118399.2</v>
      </c>
      <c r="N127" t="s">
        <v>51</v>
      </c>
    </row>
    <row r="128" spans="1:14" x14ac:dyDescent="0.3">
      <c r="A128">
        <v>1127</v>
      </c>
      <c r="B128" s="2">
        <v>45382</v>
      </c>
      <c r="C128" t="s">
        <v>15</v>
      </c>
      <c r="D128" t="s">
        <v>19</v>
      </c>
      <c r="E128" t="s">
        <v>27</v>
      </c>
      <c r="F128" t="s">
        <v>29</v>
      </c>
      <c r="G128" t="s">
        <v>33</v>
      </c>
      <c r="H128" t="s">
        <v>47</v>
      </c>
      <c r="I128">
        <v>1</v>
      </c>
      <c r="J128">
        <v>19350</v>
      </c>
      <c r="K128">
        <v>19350</v>
      </c>
      <c r="L128">
        <v>14514.48</v>
      </c>
      <c r="M128">
        <v>4835.5200000000004</v>
      </c>
      <c r="N128" t="s">
        <v>50</v>
      </c>
    </row>
    <row r="129" spans="1:14" x14ac:dyDescent="0.3">
      <c r="A129">
        <v>1128</v>
      </c>
      <c r="B129" s="2">
        <v>45434</v>
      </c>
      <c r="C129" t="s">
        <v>16</v>
      </c>
      <c r="D129" t="s">
        <v>22</v>
      </c>
      <c r="E129" t="s">
        <v>20</v>
      </c>
      <c r="F129" t="s">
        <v>29</v>
      </c>
      <c r="G129" t="s">
        <v>33</v>
      </c>
      <c r="H129" t="s">
        <v>49</v>
      </c>
      <c r="I129">
        <v>4</v>
      </c>
      <c r="J129">
        <v>56027</v>
      </c>
      <c r="K129">
        <v>224108</v>
      </c>
      <c r="L129">
        <v>140527.95000000001</v>
      </c>
      <c r="M129">
        <v>83580.05</v>
      </c>
      <c r="N129" t="s">
        <v>50</v>
      </c>
    </row>
    <row r="130" spans="1:14" x14ac:dyDescent="0.3">
      <c r="A130">
        <v>1129</v>
      </c>
      <c r="B130" s="2">
        <v>45360</v>
      </c>
      <c r="C130" t="s">
        <v>15</v>
      </c>
      <c r="D130" t="s">
        <v>21</v>
      </c>
      <c r="E130" t="s">
        <v>20</v>
      </c>
      <c r="F130" t="s">
        <v>31</v>
      </c>
      <c r="G130" t="s">
        <v>39</v>
      </c>
      <c r="H130" t="s">
        <v>44</v>
      </c>
      <c r="I130">
        <v>10</v>
      </c>
      <c r="J130">
        <v>43611</v>
      </c>
      <c r="K130">
        <v>436110</v>
      </c>
      <c r="L130">
        <v>352100.04</v>
      </c>
      <c r="M130">
        <v>84009.96</v>
      </c>
      <c r="N130" t="s">
        <v>51</v>
      </c>
    </row>
    <row r="131" spans="1:14" x14ac:dyDescent="0.3">
      <c r="A131">
        <v>1130</v>
      </c>
      <c r="B131" s="2">
        <v>45436</v>
      </c>
      <c r="C131" t="s">
        <v>17</v>
      </c>
      <c r="D131" t="s">
        <v>22</v>
      </c>
      <c r="E131" t="s">
        <v>25</v>
      </c>
      <c r="F131" t="s">
        <v>31</v>
      </c>
      <c r="G131" t="s">
        <v>37</v>
      </c>
      <c r="H131" t="s">
        <v>44</v>
      </c>
      <c r="I131">
        <v>1</v>
      </c>
      <c r="J131">
        <v>12388</v>
      </c>
      <c r="K131">
        <v>12388</v>
      </c>
      <c r="L131">
        <v>10126.76</v>
      </c>
      <c r="M131">
        <v>2261.2399999999998</v>
      </c>
      <c r="N131" t="s">
        <v>50</v>
      </c>
    </row>
    <row r="132" spans="1:14" x14ac:dyDescent="0.3">
      <c r="A132">
        <v>1131</v>
      </c>
      <c r="B132" s="2">
        <v>45332</v>
      </c>
      <c r="C132" t="s">
        <v>16</v>
      </c>
      <c r="D132" t="s">
        <v>20</v>
      </c>
      <c r="E132" t="s">
        <v>28</v>
      </c>
      <c r="F132" t="s">
        <v>30</v>
      </c>
      <c r="G132" t="s">
        <v>35</v>
      </c>
      <c r="H132" t="s">
        <v>45</v>
      </c>
      <c r="I132">
        <v>7</v>
      </c>
      <c r="J132">
        <v>28014</v>
      </c>
      <c r="K132">
        <v>196098</v>
      </c>
      <c r="L132">
        <v>139898.56</v>
      </c>
      <c r="M132">
        <v>56199.44</v>
      </c>
      <c r="N132" t="s">
        <v>50</v>
      </c>
    </row>
    <row r="133" spans="1:14" x14ac:dyDescent="0.3">
      <c r="A133">
        <v>1132</v>
      </c>
      <c r="B133" s="2">
        <v>45464</v>
      </c>
      <c r="C133" t="s">
        <v>15</v>
      </c>
      <c r="D133" t="s">
        <v>20</v>
      </c>
      <c r="E133" t="s">
        <v>26</v>
      </c>
      <c r="F133" t="s">
        <v>30</v>
      </c>
      <c r="G133" t="s">
        <v>35</v>
      </c>
      <c r="H133" t="s">
        <v>44</v>
      </c>
      <c r="I133">
        <v>3</v>
      </c>
      <c r="J133">
        <v>49942</v>
      </c>
      <c r="K133">
        <v>149826</v>
      </c>
      <c r="L133">
        <v>113037.66</v>
      </c>
      <c r="M133">
        <v>36788.339999999997</v>
      </c>
      <c r="N133" t="s">
        <v>51</v>
      </c>
    </row>
    <row r="134" spans="1:14" x14ac:dyDescent="0.3">
      <c r="A134">
        <v>1133</v>
      </c>
      <c r="B134" s="2">
        <v>45423</v>
      </c>
      <c r="C134" t="s">
        <v>15</v>
      </c>
      <c r="D134" t="s">
        <v>20</v>
      </c>
      <c r="E134" t="s">
        <v>26</v>
      </c>
      <c r="F134" t="s">
        <v>31</v>
      </c>
      <c r="G134" t="s">
        <v>41</v>
      </c>
      <c r="H134" t="s">
        <v>48</v>
      </c>
      <c r="I134">
        <v>7</v>
      </c>
      <c r="J134">
        <v>18402</v>
      </c>
      <c r="K134">
        <v>128814</v>
      </c>
      <c r="L134">
        <v>84230.48</v>
      </c>
      <c r="M134">
        <v>44583.519999999997</v>
      </c>
      <c r="N134" t="s">
        <v>51</v>
      </c>
    </row>
    <row r="135" spans="1:14" x14ac:dyDescent="0.3">
      <c r="A135">
        <v>1134</v>
      </c>
      <c r="B135" s="2">
        <v>45348</v>
      </c>
      <c r="C135" t="s">
        <v>17</v>
      </c>
      <c r="D135" t="s">
        <v>19</v>
      </c>
      <c r="E135" t="s">
        <v>24</v>
      </c>
      <c r="F135" t="s">
        <v>29</v>
      </c>
      <c r="G135" t="s">
        <v>33</v>
      </c>
      <c r="H135" t="s">
        <v>48</v>
      </c>
      <c r="I135">
        <v>9</v>
      </c>
      <c r="J135">
        <v>44221</v>
      </c>
      <c r="K135">
        <v>397989</v>
      </c>
      <c r="L135">
        <v>269480.28000000003</v>
      </c>
      <c r="M135">
        <v>128508.72</v>
      </c>
      <c r="N135" t="s">
        <v>50</v>
      </c>
    </row>
    <row r="136" spans="1:14" x14ac:dyDescent="0.3">
      <c r="A136">
        <v>1135</v>
      </c>
      <c r="B136" s="2">
        <v>45375</v>
      </c>
      <c r="C136" t="s">
        <v>15</v>
      </c>
      <c r="D136" t="s">
        <v>22</v>
      </c>
      <c r="E136" t="s">
        <v>26</v>
      </c>
      <c r="F136" t="s">
        <v>31</v>
      </c>
      <c r="G136" t="s">
        <v>43</v>
      </c>
      <c r="H136" t="s">
        <v>44</v>
      </c>
      <c r="I136">
        <v>3</v>
      </c>
      <c r="J136">
        <v>50580</v>
      </c>
      <c r="K136">
        <v>151740</v>
      </c>
      <c r="L136">
        <v>100737.13</v>
      </c>
      <c r="M136">
        <v>51002.87</v>
      </c>
      <c r="N136" t="s">
        <v>51</v>
      </c>
    </row>
    <row r="137" spans="1:14" x14ac:dyDescent="0.3">
      <c r="A137">
        <v>1136</v>
      </c>
      <c r="B137" s="2">
        <v>45420</v>
      </c>
      <c r="C137" t="s">
        <v>16</v>
      </c>
      <c r="D137" t="s">
        <v>22</v>
      </c>
      <c r="E137" t="s">
        <v>26</v>
      </c>
      <c r="F137" t="s">
        <v>30</v>
      </c>
      <c r="G137" t="s">
        <v>35</v>
      </c>
      <c r="H137" t="s">
        <v>44</v>
      </c>
      <c r="I137">
        <v>7</v>
      </c>
      <c r="J137">
        <v>35403</v>
      </c>
      <c r="K137">
        <v>247821</v>
      </c>
      <c r="L137">
        <v>192288.73</v>
      </c>
      <c r="M137">
        <v>55532.27</v>
      </c>
      <c r="N137" t="s">
        <v>50</v>
      </c>
    </row>
    <row r="138" spans="1:14" x14ac:dyDescent="0.3">
      <c r="A138">
        <v>1137</v>
      </c>
      <c r="B138" s="2">
        <v>45439</v>
      </c>
      <c r="C138" t="s">
        <v>17</v>
      </c>
      <c r="D138" t="s">
        <v>19</v>
      </c>
      <c r="E138" t="s">
        <v>26</v>
      </c>
      <c r="F138" t="s">
        <v>31</v>
      </c>
      <c r="G138" t="s">
        <v>39</v>
      </c>
      <c r="H138" t="s">
        <v>44</v>
      </c>
      <c r="I138">
        <v>8</v>
      </c>
      <c r="J138">
        <v>5602</v>
      </c>
      <c r="K138">
        <v>44816</v>
      </c>
      <c r="L138">
        <v>36548.68</v>
      </c>
      <c r="M138">
        <v>8267.32</v>
      </c>
      <c r="N138" t="s">
        <v>51</v>
      </c>
    </row>
    <row r="139" spans="1:14" x14ac:dyDescent="0.3">
      <c r="A139">
        <v>1138</v>
      </c>
      <c r="B139" s="2">
        <v>45335</v>
      </c>
      <c r="C139" t="s">
        <v>17</v>
      </c>
      <c r="D139" t="s">
        <v>18</v>
      </c>
      <c r="E139" t="s">
        <v>20</v>
      </c>
      <c r="F139" t="s">
        <v>31</v>
      </c>
      <c r="G139" t="s">
        <v>39</v>
      </c>
      <c r="H139" t="s">
        <v>48</v>
      </c>
      <c r="I139">
        <v>7</v>
      </c>
      <c r="J139">
        <v>1866</v>
      </c>
      <c r="K139">
        <v>13062</v>
      </c>
      <c r="L139">
        <v>10992.33</v>
      </c>
      <c r="M139">
        <v>2069.67</v>
      </c>
      <c r="N139" t="s">
        <v>51</v>
      </c>
    </row>
    <row r="140" spans="1:14" x14ac:dyDescent="0.3">
      <c r="A140">
        <v>1139</v>
      </c>
      <c r="B140" s="2">
        <v>45312</v>
      </c>
      <c r="C140" t="s">
        <v>17</v>
      </c>
      <c r="D140" t="s">
        <v>20</v>
      </c>
      <c r="E140" t="s">
        <v>28</v>
      </c>
      <c r="F140" t="s">
        <v>30</v>
      </c>
      <c r="G140" t="s">
        <v>35</v>
      </c>
      <c r="H140" t="s">
        <v>45</v>
      </c>
      <c r="I140">
        <v>7</v>
      </c>
      <c r="J140">
        <v>39092</v>
      </c>
      <c r="K140">
        <v>273644</v>
      </c>
      <c r="L140">
        <v>191581.57</v>
      </c>
      <c r="M140">
        <v>82062.429999999993</v>
      </c>
      <c r="N140" t="s">
        <v>50</v>
      </c>
    </row>
    <row r="141" spans="1:14" x14ac:dyDescent="0.3">
      <c r="A141">
        <v>1140</v>
      </c>
      <c r="B141" s="2">
        <v>45427</v>
      </c>
      <c r="C141" t="s">
        <v>14</v>
      </c>
      <c r="D141" t="s">
        <v>20</v>
      </c>
      <c r="E141" t="s">
        <v>20</v>
      </c>
      <c r="F141" t="s">
        <v>31</v>
      </c>
      <c r="G141" t="s">
        <v>43</v>
      </c>
      <c r="H141" t="s">
        <v>44</v>
      </c>
      <c r="I141">
        <v>2</v>
      </c>
      <c r="J141">
        <v>33955</v>
      </c>
      <c r="K141">
        <v>67910</v>
      </c>
      <c r="L141">
        <v>51496.57</v>
      </c>
      <c r="M141">
        <v>16413.43</v>
      </c>
      <c r="N141" t="s">
        <v>50</v>
      </c>
    </row>
    <row r="142" spans="1:14" x14ac:dyDescent="0.3">
      <c r="A142">
        <v>1141</v>
      </c>
      <c r="B142" s="2">
        <v>45446</v>
      </c>
      <c r="C142" t="s">
        <v>14</v>
      </c>
      <c r="D142" t="s">
        <v>18</v>
      </c>
      <c r="E142" t="s">
        <v>24</v>
      </c>
      <c r="F142" t="s">
        <v>30</v>
      </c>
      <c r="G142" t="s">
        <v>42</v>
      </c>
      <c r="H142" t="s">
        <v>47</v>
      </c>
      <c r="I142">
        <v>3</v>
      </c>
      <c r="J142">
        <v>17275</v>
      </c>
      <c r="K142">
        <v>51825</v>
      </c>
      <c r="L142">
        <v>33650.9</v>
      </c>
      <c r="M142">
        <v>18174.099999999999</v>
      </c>
      <c r="N142" t="s">
        <v>51</v>
      </c>
    </row>
    <row r="143" spans="1:14" x14ac:dyDescent="0.3">
      <c r="A143">
        <v>1142</v>
      </c>
      <c r="B143" s="2">
        <v>45451</v>
      </c>
      <c r="C143" t="s">
        <v>16</v>
      </c>
      <c r="D143" t="s">
        <v>18</v>
      </c>
      <c r="E143" t="s">
        <v>20</v>
      </c>
      <c r="F143" t="s">
        <v>31</v>
      </c>
      <c r="G143" t="s">
        <v>41</v>
      </c>
      <c r="H143" t="s">
        <v>47</v>
      </c>
      <c r="I143">
        <v>10</v>
      </c>
      <c r="J143">
        <v>42639</v>
      </c>
      <c r="K143">
        <v>426390</v>
      </c>
      <c r="L143">
        <v>323555.21000000002</v>
      </c>
      <c r="M143">
        <v>102834.79</v>
      </c>
      <c r="N143" t="s">
        <v>51</v>
      </c>
    </row>
    <row r="144" spans="1:14" x14ac:dyDescent="0.3">
      <c r="A144">
        <v>1143</v>
      </c>
      <c r="B144" s="2">
        <v>45362</v>
      </c>
      <c r="C144" t="s">
        <v>15</v>
      </c>
      <c r="D144" t="s">
        <v>20</v>
      </c>
      <c r="E144" t="s">
        <v>27</v>
      </c>
      <c r="F144" t="s">
        <v>30</v>
      </c>
      <c r="G144" t="s">
        <v>34</v>
      </c>
      <c r="H144" t="s">
        <v>48</v>
      </c>
      <c r="I144">
        <v>8</v>
      </c>
      <c r="J144">
        <v>41878</v>
      </c>
      <c r="K144">
        <v>335024</v>
      </c>
      <c r="L144">
        <v>226377.43</v>
      </c>
      <c r="M144">
        <v>108646.57</v>
      </c>
      <c r="N144" t="s">
        <v>51</v>
      </c>
    </row>
    <row r="145" spans="1:14" x14ac:dyDescent="0.3">
      <c r="A145">
        <v>1144</v>
      </c>
      <c r="B145" s="2">
        <v>45365</v>
      </c>
      <c r="C145" t="s">
        <v>15</v>
      </c>
      <c r="D145" t="s">
        <v>18</v>
      </c>
      <c r="E145" t="s">
        <v>24</v>
      </c>
      <c r="F145" t="s">
        <v>31</v>
      </c>
      <c r="G145" t="s">
        <v>41</v>
      </c>
      <c r="H145" t="s">
        <v>49</v>
      </c>
      <c r="I145">
        <v>1</v>
      </c>
      <c r="J145">
        <v>4228</v>
      </c>
      <c r="K145">
        <v>4228</v>
      </c>
      <c r="L145">
        <v>2926.56</v>
      </c>
      <c r="M145">
        <v>1301.44</v>
      </c>
      <c r="N145" t="s">
        <v>51</v>
      </c>
    </row>
    <row r="146" spans="1:14" x14ac:dyDescent="0.3">
      <c r="A146">
        <v>1145</v>
      </c>
      <c r="B146" s="2">
        <v>45340</v>
      </c>
      <c r="C146" t="s">
        <v>16</v>
      </c>
      <c r="D146" t="s">
        <v>19</v>
      </c>
      <c r="E146" t="s">
        <v>26</v>
      </c>
      <c r="F146" t="s">
        <v>31</v>
      </c>
      <c r="G146" t="s">
        <v>39</v>
      </c>
      <c r="H146" t="s">
        <v>49</v>
      </c>
      <c r="I146">
        <v>8</v>
      </c>
      <c r="J146">
        <v>53572</v>
      </c>
      <c r="K146">
        <v>428576</v>
      </c>
      <c r="L146">
        <v>318395.18</v>
      </c>
      <c r="M146">
        <v>110180.82</v>
      </c>
      <c r="N146" t="s">
        <v>50</v>
      </c>
    </row>
    <row r="147" spans="1:14" x14ac:dyDescent="0.3">
      <c r="A147">
        <v>1146</v>
      </c>
      <c r="B147" s="2">
        <v>45379</v>
      </c>
      <c r="C147" t="s">
        <v>15</v>
      </c>
      <c r="D147" t="s">
        <v>19</v>
      </c>
      <c r="E147" t="s">
        <v>28</v>
      </c>
      <c r="F147" t="s">
        <v>30</v>
      </c>
      <c r="G147" t="s">
        <v>34</v>
      </c>
      <c r="H147" t="s">
        <v>47</v>
      </c>
      <c r="I147">
        <v>2</v>
      </c>
      <c r="J147">
        <v>53647</v>
      </c>
      <c r="K147">
        <v>107294</v>
      </c>
      <c r="L147">
        <v>88494.13</v>
      </c>
      <c r="M147">
        <v>18799.87</v>
      </c>
      <c r="N147" t="s">
        <v>50</v>
      </c>
    </row>
    <row r="148" spans="1:14" x14ac:dyDescent="0.3">
      <c r="A148">
        <v>1147</v>
      </c>
      <c r="B148" s="2">
        <v>45332</v>
      </c>
      <c r="C148" t="s">
        <v>16</v>
      </c>
      <c r="D148" t="s">
        <v>20</v>
      </c>
      <c r="E148" t="s">
        <v>20</v>
      </c>
      <c r="F148" t="s">
        <v>30</v>
      </c>
      <c r="G148" t="s">
        <v>34</v>
      </c>
      <c r="H148" t="s">
        <v>46</v>
      </c>
      <c r="I148">
        <v>8</v>
      </c>
      <c r="J148">
        <v>34845</v>
      </c>
      <c r="K148">
        <v>278760</v>
      </c>
      <c r="L148">
        <v>203686.31</v>
      </c>
      <c r="M148">
        <v>75073.69</v>
      </c>
      <c r="N148" t="s">
        <v>51</v>
      </c>
    </row>
    <row r="149" spans="1:14" x14ac:dyDescent="0.3">
      <c r="A149">
        <v>1148</v>
      </c>
      <c r="B149" s="2">
        <v>45434</v>
      </c>
      <c r="C149" t="s">
        <v>17</v>
      </c>
      <c r="D149" t="s">
        <v>20</v>
      </c>
      <c r="E149" t="s">
        <v>20</v>
      </c>
      <c r="F149" t="s">
        <v>31</v>
      </c>
      <c r="G149" t="s">
        <v>39</v>
      </c>
      <c r="H149" t="s">
        <v>44</v>
      </c>
      <c r="I149">
        <v>6</v>
      </c>
      <c r="J149">
        <v>4819</v>
      </c>
      <c r="K149">
        <v>28914</v>
      </c>
      <c r="L149">
        <v>19731.57</v>
      </c>
      <c r="M149">
        <v>9182.43</v>
      </c>
      <c r="N149" t="s">
        <v>50</v>
      </c>
    </row>
    <row r="150" spans="1:14" x14ac:dyDescent="0.3">
      <c r="A150">
        <v>1149</v>
      </c>
      <c r="B150" s="2">
        <v>45381</v>
      </c>
      <c r="C150" t="s">
        <v>16</v>
      </c>
      <c r="D150" t="s">
        <v>18</v>
      </c>
      <c r="E150" t="s">
        <v>28</v>
      </c>
      <c r="F150" t="s">
        <v>31</v>
      </c>
      <c r="G150" t="s">
        <v>39</v>
      </c>
      <c r="H150" t="s">
        <v>44</v>
      </c>
      <c r="I150">
        <v>10</v>
      </c>
      <c r="J150">
        <v>43990</v>
      </c>
      <c r="K150">
        <v>439900</v>
      </c>
      <c r="L150">
        <v>279493.59000000003</v>
      </c>
      <c r="M150">
        <v>160406.41</v>
      </c>
      <c r="N150" t="s">
        <v>51</v>
      </c>
    </row>
    <row r="151" spans="1:14" x14ac:dyDescent="0.3">
      <c r="A151">
        <v>1150</v>
      </c>
      <c r="B151" s="2">
        <v>45376</v>
      </c>
      <c r="C151" t="s">
        <v>14</v>
      </c>
      <c r="D151" t="s">
        <v>18</v>
      </c>
      <c r="E151" t="s">
        <v>28</v>
      </c>
      <c r="F151" t="s">
        <v>30</v>
      </c>
      <c r="G151" t="s">
        <v>42</v>
      </c>
      <c r="H151" t="s">
        <v>44</v>
      </c>
      <c r="I151">
        <v>5</v>
      </c>
      <c r="J151">
        <v>37129</v>
      </c>
      <c r="K151">
        <v>185645</v>
      </c>
      <c r="L151">
        <v>128869.16</v>
      </c>
      <c r="M151">
        <v>56775.839999999997</v>
      </c>
      <c r="N151" t="s">
        <v>50</v>
      </c>
    </row>
    <row r="152" spans="1:14" x14ac:dyDescent="0.3">
      <c r="A152">
        <v>1151</v>
      </c>
      <c r="B152" s="2">
        <v>45371</v>
      </c>
      <c r="C152" t="s">
        <v>14</v>
      </c>
      <c r="D152" t="s">
        <v>21</v>
      </c>
      <c r="E152" t="s">
        <v>20</v>
      </c>
      <c r="F152" t="s">
        <v>29</v>
      </c>
      <c r="G152" t="s">
        <v>33</v>
      </c>
      <c r="H152" t="s">
        <v>46</v>
      </c>
      <c r="I152">
        <v>9</v>
      </c>
      <c r="J152">
        <v>24212</v>
      </c>
      <c r="K152">
        <v>217908</v>
      </c>
      <c r="L152">
        <v>131737.95000000001</v>
      </c>
      <c r="M152">
        <v>86170.05</v>
      </c>
      <c r="N152" t="s">
        <v>50</v>
      </c>
    </row>
    <row r="153" spans="1:14" x14ac:dyDescent="0.3">
      <c r="A153">
        <v>1152</v>
      </c>
      <c r="B153" s="2">
        <v>45317</v>
      </c>
      <c r="C153" t="s">
        <v>15</v>
      </c>
      <c r="D153" t="s">
        <v>18</v>
      </c>
      <c r="E153" t="s">
        <v>20</v>
      </c>
      <c r="F153" t="s">
        <v>30</v>
      </c>
      <c r="G153" t="s">
        <v>35</v>
      </c>
      <c r="H153" t="s">
        <v>49</v>
      </c>
      <c r="I153">
        <v>3</v>
      </c>
      <c r="J153">
        <v>5557</v>
      </c>
      <c r="K153">
        <v>16671</v>
      </c>
      <c r="L153">
        <v>11235.39</v>
      </c>
      <c r="M153">
        <v>5435.61</v>
      </c>
      <c r="N153" t="s">
        <v>50</v>
      </c>
    </row>
    <row r="154" spans="1:14" x14ac:dyDescent="0.3">
      <c r="A154">
        <v>1153</v>
      </c>
      <c r="B154" s="2">
        <v>45469</v>
      </c>
      <c r="C154" t="s">
        <v>14</v>
      </c>
      <c r="D154" t="s">
        <v>18</v>
      </c>
      <c r="E154" t="s">
        <v>26</v>
      </c>
      <c r="F154" t="s">
        <v>29</v>
      </c>
      <c r="G154" t="s">
        <v>33</v>
      </c>
      <c r="H154" t="s">
        <v>48</v>
      </c>
      <c r="I154">
        <v>3</v>
      </c>
      <c r="J154">
        <v>11133</v>
      </c>
      <c r="K154">
        <v>33399</v>
      </c>
      <c r="L154">
        <v>21549.42</v>
      </c>
      <c r="M154">
        <v>11849.58</v>
      </c>
      <c r="N154" t="s">
        <v>51</v>
      </c>
    </row>
    <row r="155" spans="1:14" x14ac:dyDescent="0.3">
      <c r="A155">
        <v>1154</v>
      </c>
      <c r="B155" s="2">
        <v>45406</v>
      </c>
      <c r="C155" t="s">
        <v>14</v>
      </c>
      <c r="D155" t="s">
        <v>19</v>
      </c>
      <c r="E155" t="s">
        <v>25</v>
      </c>
      <c r="F155" t="s">
        <v>31</v>
      </c>
      <c r="G155" t="s">
        <v>43</v>
      </c>
      <c r="H155" t="s">
        <v>45</v>
      </c>
      <c r="I155">
        <v>8</v>
      </c>
      <c r="J155">
        <v>40515</v>
      </c>
      <c r="K155">
        <v>324120</v>
      </c>
      <c r="L155">
        <v>217559.71</v>
      </c>
      <c r="M155">
        <v>106560.29</v>
      </c>
      <c r="N155" t="s">
        <v>51</v>
      </c>
    </row>
    <row r="156" spans="1:14" x14ac:dyDescent="0.3">
      <c r="A156">
        <v>1155</v>
      </c>
      <c r="B156" s="2">
        <v>45364</v>
      </c>
      <c r="C156" t="s">
        <v>17</v>
      </c>
      <c r="D156" t="s">
        <v>19</v>
      </c>
      <c r="E156" t="s">
        <v>27</v>
      </c>
      <c r="F156" t="s">
        <v>30</v>
      </c>
      <c r="G156" t="s">
        <v>40</v>
      </c>
      <c r="H156" t="s">
        <v>46</v>
      </c>
      <c r="I156">
        <v>10</v>
      </c>
      <c r="J156">
        <v>29374</v>
      </c>
      <c r="K156">
        <v>293740</v>
      </c>
      <c r="L156">
        <v>210147.47</v>
      </c>
      <c r="M156">
        <v>83592.53</v>
      </c>
      <c r="N156" t="s">
        <v>50</v>
      </c>
    </row>
    <row r="157" spans="1:14" x14ac:dyDescent="0.3">
      <c r="A157">
        <v>1156</v>
      </c>
      <c r="B157" s="2">
        <v>45387</v>
      </c>
      <c r="C157" t="s">
        <v>15</v>
      </c>
      <c r="D157" t="s">
        <v>18</v>
      </c>
      <c r="E157" t="s">
        <v>27</v>
      </c>
      <c r="F157" t="s">
        <v>30</v>
      </c>
      <c r="G157" t="s">
        <v>35</v>
      </c>
      <c r="H157" t="s">
        <v>48</v>
      </c>
      <c r="I157">
        <v>5</v>
      </c>
      <c r="J157">
        <v>3919</v>
      </c>
      <c r="K157">
        <v>19595</v>
      </c>
      <c r="L157">
        <v>14897.98</v>
      </c>
      <c r="M157">
        <v>4697.0200000000004</v>
      </c>
      <c r="N157" t="s">
        <v>51</v>
      </c>
    </row>
    <row r="158" spans="1:14" x14ac:dyDescent="0.3">
      <c r="A158">
        <v>1157</v>
      </c>
      <c r="B158" s="2">
        <v>45329</v>
      </c>
      <c r="C158" t="s">
        <v>17</v>
      </c>
      <c r="D158" t="s">
        <v>22</v>
      </c>
      <c r="E158" t="s">
        <v>25</v>
      </c>
      <c r="F158" t="s">
        <v>30</v>
      </c>
      <c r="G158" t="s">
        <v>35</v>
      </c>
      <c r="H158" t="s">
        <v>46</v>
      </c>
      <c r="I158">
        <v>5</v>
      </c>
      <c r="J158">
        <v>29946</v>
      </c>
      <c r="K158">
        <v>149730</v>
      </c>
      <c r="L158">
        <v>123725.87</v>
      </c>
      <c r="M158">
        <v>26004.13</v>
      </c>
      <c r="N158" t="s">
        <v>51</v>
      </c>
    </row>
    <row r="159" spans="1:14" x14ac:dyDescent="0.3">
      <c r="A159">
        <v>1158</v>
      </c>
      <c r="B159" s="2">
        <v>45352</v>
      </c>
      <c r="C159" t="s">
        <v>17</v>
      </c>
      <c r="D159" t="s">
        <v>22</v>
      </c>
      <c r="E159" t="s">
        <v>20</v>
      </c>
      <c r="F159" t="s">
        <v>30</v>
      </c>
      <c r="G159" t="s">
        <v>34</v>
      </c>
      <c r="H159" t="s">
        <v>47</v>
      </c>
      <c r="I159">
        <v>1</v>
      </c>
      <c r="J159">
        <v>26482</v>
      </c>
      <c r="K159">
        <v>26482</v>
      </c>
      <c r="L159">
        <v>19212.740000000002</v>
      </c>
      <c r="M159">
        <v>7269.26</v>
      </c>
      <c r="N159" t="s">
        <v>50</v>
      </c>
    </row>
    <row r="160" spans="1:14" x14ac:dyDescent="0.3">
      <c r="A160">
        <v>1159</v>
      </c>
      <c r="B160" s="2">
        <v>45301</v>
      </c>
      <c r="C160" t="s">
        <v>16</v>
      </c>
      <c r="D160" t="s">
        <v>23</v>
      </c>
      <c r="E160" t="s">
        <v>28</v>
      </c>
      <c r="F160" t="s">
        <v>31</v>
      </c>
      <c r="G160" t="s">
        <v>39</v>
      </c>
      <c r="H160" t="s">
        <v>47</v>
      </c>
      <c r="I160">
        <v>6</v>
      </c>
      <c r="J160">
        <v>52363</v>
      </c>
      <c r="K160">
        <v>314178</v>
      </c>
      <c r="L160">
        <v>199978.17</v>
      </c>
      <c r="M160">
        <v>114199.83</v>
      </c>
      <c r="N160" t="s">
        <v>51</v>
      </c>
    </row>
    <row r="161" spans="1:14" x14ac:dyDescent="0.3">
      <c r="A161">
        <v>1160</v>
      </c>
      <c r="B161" s="2">
        <v>45330</v>
      </c>
      <c r="C161" t="s">
        <v>17</v>
      </c>
      <c r="D161" t="s">
        <v>22</v>
      </c>
      <c r="E161" t="s">
        <v>20</v>
      </c>
      <c r="F161" t="s">
        <v>31</v>
      </c>
      <c r="G161" t="s">
        <v>39</v>
      </c>
      <c r="H161" t="s">
        <v>47</v>
      </c>
      <c r="I161">
        <v>2</v>
      </c>
      <c r="J161">
        <v>1745</v>
      </c>
      <c r="K161">
        <v>3490</v>
      </c>
      <c r="L161">
        <v>2317.29</v>
      </c>
      <c r="M161">
        <v>1172.71</v>
      </c>
      <c r="N161" t="s">
        <v>51</v>
      </c>
    </row>
    <row r="162" spans="1:14" x14ac:dyDescent="0.3">
      <c r="A162">
        <v>1161</v>
      </c>
      <c r="B162" s="2">
        <v>45451</v>
      </c>
      <c r="C162" t="s">
        <v>17</v>
      </c>
      <c r="D162" t="s">
        <v>22</v>
      </c>
      <c r="E162" t="s">
        <v>24</v>
      </c>
      <c r="F162" t="s">
        <v>30</v>
      </c>
      <c r="G162" t="s">
        <v>42</v>
      </c>
      <c r="H162" t="s">
        <v>46</v>
      </c>
      <c r="I162">
        <v>4</v>
      </c>
      <c r="J162">
        <v>28013</v>
      </c>
      <c r="K162">
        <v>112052</v>
      </c>
      <c r="L162">
        <v>85130.15</v>
      </c>
      <c r="M162">
        <v>26921.85</v>
      </c>
      <c r="N162" t="s">
        <v>50</v>
      </c>
    </row>
    <row r="163" spans="1:14" x14ac:dyDescent="0.3">
      <c r="A163">
        <v>1162</v>
      </c>
      <c r="B163" s="2">
        <v>45449</v>
      </c>
      <c r="C163" t="s">
        <v>16</v>
      </c>
      <c r="D163" t="s">
        <v>21</v>
      </c>
      <c r="E163" t="s">
        <v>27</v>
      </c>
      <c r="F163" t="s">
        <v>29</v>
      </c>
      <c r="G163" t="s">
        <v>36</v>
      </c>
      <c r="H163" t="s">
        <v>46</v>
      </c>
      <c r="I163">
        <v>3</v>
      </c>
      <c r="J163">
        <v>19588</v>
      </c>
      <c r="K163">
        <v>58764</v>
      </c>
      <c r="L163">
        <v>41564.35</v>
      </c>
      <c r="M163">
        <v>17199.650000000001</v>
      </c>
      <c r="N163" t="s">
        <v>50</v>
      </c>
    </row>
    <row r="164" spans="1:14" x14ac:dyDescent="0.3">
      <c r="A164">
        <v>1163</v>
      </c>
      <c r="B164" s="2">
        <v>45426</v>
      </c>
      <c r="C164" t="s">
        <v>15</v>
      </c>
      <c r="D164" t="s">
        <v>23</v>
      </c>
      <c r="E164" t="s">
        <v>26</v>
      </c>
      <c r="F164" t="s">
        <v>29</v>
      </c>
      <c r="G164" t="s">
        <v>32</v>
      </c>
      <c r="H164" t="s">
        <v>48</v>
      </c>
      <c r="I164">
        <v>9</v>
      </c>
      <c r="J164">
        <v>24132</v>
      </c>
      <c r="K164">
        <v>217188</v>
      </c>
      <c r="L164">
        <v>133987.57999999999</v>
      </c>
      <c r="M164">
        <v>83200.42</v>
      </c>
      <c r="N164" t="s">
        <v>51</v>
      </c>
    </row>
    <row r="165" spans="1:14" x14ac:dyDescent="0.3">
      <c r="A165">
        <v>1164</v>
      </c>
      <c r="B165" s="2">
        <v>45380</v>
      </c>
      <c r="C165" t="s">
        <v>14</v>
      </c>
      <c r="D165" t="s">
        <v>18</v>
      </c>
      <c r="E165" t="s">
        <v>28</v>
      </c>
      <c r="F165" t="s">
        <v>31</v>
      </c>
      <c r="G165" t="s">
        <v>37</v>
      </c>
      <c r="H165" t="s">
        <v>44</v>
      </c>
      <c r="I165">
        <v>1</v>
      </c>
      <c r="J165">
        <v>23902</v>
      </c>
      <c r="K165">
        <v>23902</v>
      </c>
      <c r="L165">
        <v>19053</v>
      </c>
      <c r="M165">
        <v>4849</v>
      </c>
      <c r="N165" t="s">
        <v>50</v>
      </c>
    </row>
    <row r="166" spans="1:14" x14ac:dyDescent="0.3">
      <c r="A166">
        <v>1165</v>
      </c>
      <c r="B166" s="2">
        <v>45378</v>
      </c>
      <c r="C166" t="s">
        <v>14</v>
      </c>
      <c r="D166" t="s">
        <v>18</v>
      </c>
      <c r="E166" t="s">
        <v>26</v>
      </c>
      <c r="F166" t="s">
        <v>29</v>
      </c>
      <c r="G166" t="s">
        <v>38</v>
      </c>
      <c r="H166" t="s">
        <v>44</v>
      </c>
      <c r="I166">
        <v>3</v>
      </c>
      <c r="J166">
        <v>3405</v>
      </c>
      <c r="K166">
        <v>10215</v>
      </c>
      <c r="L166">
        <v>7028.68</v>
      </c>
      <c r="M166">
        <v>3186.32</v>
      </c>
      <c r="N166" t="s">
        <v>51</v>
      </c>
    </row>
    <row r="167" spans="1:14" x14ac:dyDescent="0.3">
      <c r="A167">
        <v>1166</v>
      </c>
      <c r="B167" s="2">
        <v>45409</v>
      </c>
      <c r="C167" t="s">
        <v>15</v>
      </c>
      <c r="D167" t="s">
        <v>20</v>
      </c>
      <c r="E167" t="s">
        <v>25</v>
      </c>
      <c r="F167" t="s">
        <v>29</v>
      </c>
      <c r="G167" t="s">
        <v>36</v>
      </c>
      <c r="H167" t="s">
        <v>48</v>
      </c>
      <c r="I167">
        <v>3</v>
      </c>
      <c r="J167">
        <v>4635</v>
      </c>
      <c r="K167">
        <v>13905</v>
      </c>
      <c r="L167">
        <v>10832.15</v>
      </c>
      <c r="M167">
        <v>3072.85</v>
      </c>
      <c r="N167" t="s">
        <v>50</v>
      </c>
    </row>
    <row r="168" spans="1:14" x14ac:dyDescent="0.3">
      <c r="A168">
        <v>1167</v>
      </c>
      <c r="B168" s="2">
        <v>45431</v>
      </c>
      <c r="C168" t="s">
        <v>17</v>
      </c>
      <c r="D168" t="s">
        <v>20</v>
      </c>
      <c r="E168" t="s">
        <v>24</v>
      </c>
      <c r="F168" t="s">
        <v>30</v>
      </c>
      <c r="G168" t="s">
        <v>40</v>
      </c>
      <c r="H168" t="s">
        <v>44</v>
      </c>
      <c r="I168">
        <v>5</v>
      </c>
      <c r="J168">
        <v>34276</v>
      </c>
      <c r="K168">
        <v>171380</v>
      </c>
      <c r="L168">
        <v>119889.91</v>
      </c>
      <c r="M168">
        <v>51490.09</v>
      </c>
      <c r="N168" t="s">
        <v>50</v>
      </c>
    </row>
    <row r="169" spans="1:14" x14ac:dyDescent="0.3">
      <c r="A169">
        <v>1168</v>
      </c>
      <c r="B169" s="2">
        <v>45361</v>
      </c>
      <c r="C169" t="s">
        <v>15</v>
      </c>
      <c r="D169" t="s">
        <v>20</v>
      </c>
      <c r="E169" t="s">
        <v>26</v>
      </c>
      <c r="F169" t="s">
        <v>31</v>
      </c>
      <c r="G169" t="s">
        <v>37</v>
      </c>
      <c r="H169" t="s">
        <v>46</v>
      </c>
      <c r="I169">
        <v>1</v>
      </c>
      <c r="J169">
        <v>57240</v>
      </c>
      <c r="K169">
        <v>57240</v>
      </c>
      <c r="L169">
        <v>43727.519999999997</v>
      </c>
      <c r="M169">
        <v>13512.48</v>
      </c>
      <c r="N169" t="s">
        <v>51</v>
      </c>
    </row>
    <row r="170" spans="1:14" x14ac:dyDescent="0.3">
      <c r="A170">
        <v>1169</v>
      </c>
      <c r="B170" s="2">
        <v>45386</v>
      </c>
      <c r="C170" t="s">
        <v>16</v>
      </c>
      <c r="D170" t="s">
        <v>22</v>
      </c>
      <c r="E170" t="s">
        <v>28</v>
      </c>
      <c r="F170" t="s">
        <v>31</v>
      </c>
      <c r="G170" t="s">
        <v>37</v>
      </c>
      <c r="H170" t="s">
        <v>46</v>
      </c>
      <c r="I170">
        <v>3</v>
      </c>
      <c r="J170">
        <v>33019</v>
      </c>
      <c r="K170">
        <v>99057</v>
      </c>
      <c r="L170">
        <v>76572.759999999995</v>
      </c>
      <c r="M170">
        <v>22484.240000000002</v>
      </c>
      <c r="N170" t="s">
        <v>50</v>
      </c>
    </row>
    <row r="171" spans="1:14" x14ac:dyDescent="0.3">
      <c r="A171">
        <v>1170</v>
      </c>
      <c r="B171" s="2">
        <v>45312</v>
      </c>
      <c r="C171" t="s">
        <v>16</v>
      </c>
      <c r="D171" t="s">
        <v>18</v>
      </c>
      <c r="E171" t="s">
        <v>20</v>
      </c>
      <c r="F171" t="s">
        <v>31</v>
      </c>
      <c r="G171" t="s">
        <v>43</v>
      </c>
      <c r="H171" t="s">
        <v>45</v>
      </c>
      <c r="I171">
        <v>9</v>
      </c>
      <c r="J171">
        <v>19752</v>
      </c>
      <c r="K171">
        <v>177768</v>
      </c>
      <c r="L171">
        <v>120936.08</v>
      </c>
      <c r="M171">
        <v>56831.92</v>
      </c>
      <c r="N171" t="s">
        <v>51</v>
      </c>
    </row>
    <row r="172" spans="1:14" x14ac:dyDescent="0.3">
      <c r="A172">
        <v>1171</v>
      </c>
      <c r="B172" s="2">
        <v>45406</v>
      </c>
      <c r="C172" t="s">
        <v>15</v>
      </c>
      <c r="D172" t="s">
        <v>18</v>
      </c>
      <c r="E172" t="s">
        <v>20</v>
      </c>
      <c r="F172" t="s">
        <v>29</v>
      </c>
      <c r="G172" t="s">
        <v>33</v>
      </c>
      <c r="H172" t="s">
        <v>49</v>
      </c>
      <c r="I172">
        <v>3</v>
      </c>
      <c r="J172">
        <v>45704</v>
      </c>
      <c r="K172">
        <v>137112</v>
      </c>
      <c r="L172">
        <v>97483.49</v>
      </c>
      <c r="M172">
        <v>39628.51</v>
      </c>
      <c r="N172" t="s">
        <v>51</v>
      </c>
    </row>
    <row r="173" spans="1:14" x14ac:dyDescent="0.3">
      <c r="A173">
        <v>1172</v>
      </c>
      <c r="B173" s="2">
        <v>45385</v>
      </c>
      <c r="C173" t="s">
        <v>14</v>
      </c>
      <c r="D173" t="s">
        <v>22</v>
      </c>
      <c r="E173" t="s">
        <v>25</v>
      </c>
      <c r="F173" t="s">
        <v>31</v>
      </c>
      <c r="G173" t="s">
        <v>39</v>
      </c>
      <c r="H173" t="s">
        <v>49</v>
      </c>
      <c r="I173">
        <v>2</v>
      </c>
      <c r="J173">
        <v>44486</v>
      </c>
      <c r="K173">
        <v>88972</v>
      </c>
      <c r="L173">
        <v>67563.39</v>
      </c>
      <c r="M173">
        <v>21408.61</v>
      </c>
      <c r="N173" t="s">
        <v>51</v>
      </c>
    </row>
    <row r="174" spans="1:14" x14ac:dyDescent="0.3">
      <c r="A174">
        <v>1173</v>
      </c>
      <c r="B174" s="2">
        <v>45385</v>
      </c>
      <c r="C174" t="s">
        <v>16</v>
      </c>
      <c r="D174" t="s">
        <v>23</v>
      </c>
      <c r="E174" t="s">
        <v>27</v>
      </c>
      <c r="F174" t="s">
        <v>30</v>
      </c>
      <c r="G174" t="s">
        <v>35</v>
      </c>
      <c r="H174" t="s">
        <v>48</v>
      </c>
      <c r="I174">
        <v>2</v>
      </c>
      <c r="J174">
        <v>15966</v>
      </c>
      <c r="K174">
        <v>31932</v>
      </c>
      <c r="L174">
        <v>25374.09</v>
      </c>
      <c r="M174">
        <v>6557.91</v>
      </c>
      <c r="N174" t="s">
        <v>50</v>
      </c>
    </row>
    <row r="175" spans="1:14" x14ac:dyDescent="0.3">
      <c r="A175">
        <v>1174</v>
      </c>
      <c r="B175" s="2">
        <v>45311</v>
      </c>
      <c r="C175" t="s">
        <v>14</v>
      </c>
      <c r="D175" t="s">
        <v>19</v>
      </c>
      <c r="E175" t="s">
        <v>20</v>
      </c>
      <c r="F175" t="s">
        <v>29</v>
      </c>
      <c r="G175" t="s">
        <v>33</v>
      </c>
      <c r="H175" t="s">
        <v>46</v>
      </c>
      <c r="I175">
        <v>6</v>
      </c>
      <c r="J175">
        <v>24880</v>
      </c>
      <c r="K175">
        <v>149280</v>
      </c>
      <c r="L175">
        <v>106135.81</v>
      </c>
      <c r="M175">
        <v>43144.19</v>
      </c>
      <c r="N175" t="s">
        <v>51</v>
      </c>
    </row>
    <row r="176" spans="1:14" x14ac:dyDescent="0.3">
      <c r="A176">
        <v>1175</v>
      </c>
      <c r="B176" s="2">
        <v>45339</v>
      </c>
      <c r="C176" t="s">
        <v>17</v>
      </c>
      <c r="D176" t="s">
        <v>19</v>
      </c>
      <c r="E176" t="s">
        <v>26</v>
      </c>
      <c r="F176" t="s">
        <v>29</v>
      </c>
      <c r="G176" t="s">
        <v>38</v>
      </c>
      <c r="H176" t="s">
        <v>49</v>
      </c>
      <c r="I176">
        <v>4</v>
      </c>
      <c r="J176">
        <v>7934</v>
      </c>
      <c r="K176">
        <v>31736</v>
      </c>
      <c r="L176">
        <v>19247.2</v>
      </c>
      <c r="M176">
        <v>12488.8</v>
      </c>
      <c r="N176" t="s">
        <v>50</v>
      </c>
    </row>
    <row r="177" spans="1:14" x14ac:dyDescent="0.3">
      <c r="A177">
        <v>1176</v>
      </c>
      <c r="B177" s="2">
        <v>45365</v>
      </c>
      <c r="C177" t="s">
        <v>17</v>
      </c>
      <c r="D177" t="s">
        <v>21</v>
      </c>
      <c r="E177" t="s">
        <v>24</v>
      </c>
      <c r="F177" t="s">
        <v>31</v>
      </c>
      <c r="G177" t="s">
        <v>37</v>
      </c>
      <c r="H177" t="s">
        <v>47</v>
      </c>
      <c r="I177">
        <v>8</v>
      </c>
      <c r="J177">
        <v>14562</v>
      </c>
      <c r="K177">
        <v>116496</v>
      </c>
      <c r="L177">
        <v>98915.74</v>
      </c>
      <c r="M177">
        <v>17580.259999999998</v>
      </c>
      <c r="N177" t="s">
        <v>50</v>
      </c>
    </row>
    <row r="178" spans="1:14" x14ac:dyDescent="0.3">
      <c r="A178">
        <v>1177</v>
      </c>
      <c r="B178" s="2">
        <v>45373</v>
      </c>
      <c r="C178" t="s">
        <v>16</v>
      </c>
      <c r="D178" t="s">
        <v>18</v>
      </c>
      <c r="E178" t="s">
        <v>24</v>
      </c>
      <c r="F178" t="s">
        <v>31</v>
      </c>
      <c r="G178" t="s">
        <v>43</v>
      </c>
      <c r="H178" t="s">
        <v>49</v>
      </c>
      <c r="I178">
        <v>8</v>
      </c>
      <c r="J178">
        <v>6253</v>
      </c>
      <c r="K178">
        <v>50024</v>
      </c>
      <c r="L178">
        <v>40150.68</v>
      </c>
      <c r="M178">
        <v>9873.32</v>
      </c>
      <c r="N178" t="s">
        <v>51</v>
      </c>
    </row>
    <row r="179" spans="1:14" x14ac:dyDescent="0.3">
      <c r="A179">
        <v>1178</v>
      </c>
      <c r="B179" s="2">
        <v>45349</v>
      </c>
      <c r="C179" t="s">
        <v>15</v>
      </c>
      <c r="D179" t="s">
        <v>21</v>
      </c>
      <c r="E179" t="s">
        <v>25</v>
      </c>
      <c r="F179" t="s">
        <v>31</v>
      </c>
      <c r="G179" t="s">
        <v>43</v>
      </c>
      <c r="H179" t="s">
        <v>47</v>
      </c>
      <c r="I179">
        <v>3</v>
      </c>
      <c r="J179">
        <v>52515</v>
      </c>
      <c r="K179">
        <v>157545</v>
      </c>
      <c r="L179">
        <v>108764.82</v>
      </c>
      <c r="M179">
        <v>48780.18</v>
      </c>
      <c r="N179" t="s">
        <v>51</v>
      </c>
    </row>
    <row r="180" spans="1:14" x14ac:dyDescent="0.3">
      <c r="A180">
        <v>1179</v>
      </c>
      <c r="B180" s="2">
        <v>45433</v>
      </c>
      <c r="C180" t="s">
        <v>14</v>
      </c>
      <c r="D180" t="s">
        <v>19</v>
      </c>
      <c r="E180" t="s">
        <v>24</v>
      </c>
      <c r="F180" t="s">
        <v>30</v>
      </c>
      <c r="G180" t="s">
        <v>40</v>
      </c>
      <c r="H180" t="s">
        <v>48</v>
      </c>
      <c r="I180">
        <v>9</v>
      </c>
      <c r="J180">
        <v>38004</v>
      </c>
      <c r="K180">
        <v>342036</v>
      </c>
      <c r="L180">
        <v>236766.82</v>
      </c>
      <c r="M180">
        <v>105269.18</v>
      </c>
      <c r="N180" t="s">
        <v>51</v>
      </c>
    </row>
    <row r="181" spans="1:14" x14ac:dyDescent="0.3">
      <c r="A181">
        <v>1180</v>
      </c>
      <c r="B181" s="2">
        <v>45439</v>
      </c>
      <c r="C181" t="s">
        <v>15</v>
      </c>
      <c r="D181" t="s">
        <v>21</v>
      </c>
      <c r="E181" t="s">
        <v>20</v>
      </c>
      <c r="F181" t="s">
        <v>31</v>
      </c>
      <c r="G181" t="s">
        <v>41</v>
      </c>
      <c r="H181" t="s">
        <v>44</v>
      </c>
      <c r="I181">
        <v>9</v>
      </c>
      <c r="J181">
        <v>27421</v>
      </c>
      <c r="K181">
        <v>246789</v>
      </c>
      <c r="L181">
        <v>195528.74</v>
      </c>
      <c r="M181">
        <v>51260.26</v>
      </c>
      <c r="N181" t="s">
        <v>50</v>
      </c>
    </row>
    <row r="182" spans="1:14" x14ac:dyDescent="0.3">
      <c r="A182">
        <v>1181</v>
      </c>
      <c r="B182" s="2">
        <v>45433</v>
      </c>
      <c r="C182" t="s">
        <v>14</v>
      </c>
      <c r="D182" t="s">
        <v>21</v>
      </c>
      <c r="E182" t="s">
        <v>26</v>
      </c>
      <c r="F182" t="s">
        <v>31</v>
      </c>
      <c r="G182" t="s">
        <v>41</v>
      </c>
      <c r="H182" t="s">
        <v>49</v>
      </c>
      <c r="I182">
        <v>9</v>
      </c>
      <c r="J182">
        <v>23078</v>
      </c>
      <c r="K182">
        <v>207702</v>
      </c>
      <c r="L182">
        <v>131285.04</v>
      </c>
      <c r="M182">
        <v>76416.960000000006</v>
      </c>
      <c r="N182" t="s">
        <v>50</v>
      </c>
    </row>
    <row r="183" spans="1:14" x14ac:dyDescent="0.3">
      <c r="A183">
        <v>1182</v>
      </c>
      <c r="B183" s="2">
        <v>45349</v>
      </c>
      <c r="C183" t="s">
        <v>16</v>
      </c>
      <c r="D183" t="s">
        <v>19</v>
      </c>
      <c r="E183" t="s">
        <v>20</v>
      </c>
      <c r="F183" t="s">
        <v>30</v>
      </c>
      <c r="G183" t="s">
        <v>35</v>
      </c>
      <c r="H183" t="s">
        <v>48</v>
      </c>
      <c r="I183">
        <v>5</v>
      </c>
      <c r="J183">
        <v>11290</v>
      </c>
      <c r="K183">
        <v>56450</v>
      </c>
      <c r="L183">
        <v>36155.760000000002</v>
      </c>
      <c r="M183">
        <v>20294.240000000002</v>
      </c>
      <c r="N183" t="s">
        <v>51</v>
      </c>
    </row>
    <row r="184" spans="1:14" x14ac:dyDescent="0.3">
      <c r="A184">
        <v>1183</v>
      </c>
      <c r="B184" s="2">
        <v>45428</v>
      </c>
      <c r="C184" t="s">
        <v>15</v>
      </c>
      <c r="D184" t="s">
        <v>19</v>
      </c>
      <c r="E184" t="s">
        <v>28</v>
      </c>
      <c r="F184" t="s">
        <v>30</v>
      </c>
      <c r="G184" t="s">
        <v>40</v>
      </c>
      <c r="H184" t="s">
        <v>47</v>
      </c>
      <c r="I184">
        <v>3</v>
      </c>
      <c r="J184">
        <v>41461</v>
      </c>
      <c r="K184">
        <v>124383</v>
      </c>
      <c r="L184">
        <v>84046.36</v>
      </c>
      <c r="M184">
        <v>40336.639999999999</v>
      </c>
      <c r="N184" t="s">
        <v>50</v>
      </c>
    </row>
    <row r="185" spans="1:14" x14ac:dyDescent="0.3">
      <c r="A185">
        <v>1184</v>
      </c>
      <c r="B185" s="2">
        <v>45299</v>
      </c>
      <c r="C185" t="s">
        <v>15</v>
      </c>
      <c r="D185" t="s">
        <v>22</v>
      </c>
      <c r="E185" t="s">
        <v>28</v>
      </c>
      <c r="F185" t="s">
        <v>30</v>
      </c>
      <c r="G185" t="s">
        <v>40</v>
      </c>
      <c r="H185" t="s">
        <v>49</v>
      </c>
      <c r="I185">
        <v>10</v>
      </c>
      <c r="J185">
        <v>3199</v>
      </c>
      <c r="K185">
        <v>31990</v>
      </c>
      <c r="L185">
        <v>25793.83</v>
      </c>
      <c r="M185">
        <v>6196.17</v>
      </c>
      <c r="N185" t="s">
        <v>51</v>
      </c>
    </row>
    <row r="186" spans="1:14" x14ac:dyDescent="0.3">
      <c r="A186">
        <v>1185</v>
      </c>
      <c r="B186" s="2">
        <v>45299</v>
      </c>
      <c r="C186" t="s">
        <v>17</v>
      </c>
      <c r="D186" t="s">
        <v>18</v>
      </c>
      <c r="E186" t="s">
        <v>27</v>
      </c>
      <c r="F186" t="s">
        <v>29</v>
      </c>
      <c r="G186" t="s">
        <v>36</v>
      </c>
      <c r="H186" t="s">
        <v>45</v>
      </c>
      <c r="I186">
        <v>10</v>
      </c>
      <c r="J186">
        <v>27801</v>
      </c>
      <c r="K186">
        <v>278010</v>
      </c>
      <c r="L186">
        <v>209766.08</v>
      </c>
      <c r="M186">
        <v>68243.92</v>
      </c>
      <c r="N186" t="s">
        <v>51</v>
      </c>
    </row>
    <row r="187" spans="1:14" x14ac:dyDescent="0.3">
      <c r="A187">
        <v>1186</v>
      </c>
      <c r="B187" s="2">
        <v>45468</v>
      </c>
      <c r="C187" t="s">
        <v>15</v>
      </c>
      <c r="D187" t="s">
        <v>21</v>
      </c>
      <c r="E187" t="s">
        <v>26</v>
      </c>
      <c r="F187" t="s">
        <v>31</v>
      </c>
      <c r="G187" t="s">
        <v>43</v>
      </c>
      <c r="H187" t="s">
        <v>46</v>
      </c>
      <c r="I187">
        <v>7</v>
      </c>
      <c r="J187">
        <v>19992</v>
      </c>
      <c r="K187">
        <v>139944</v>
      </c>
      <c r="L187">
        <v>99834.1</v>
      </c>
      <c r="M187">
        <v>40109.9</v>
      </c>
      <c r="N187" t="s">
        <v>51</v>
      </c>
    </row>
    <row r="188" spans="1:14" x14ac:dyDescent="0.3">
      <c r="A188">
        <v>1187</v>
      </c>
      <c r="B188" s="2">
        <v>45373</v>
      </c>
      <c r="C188" t="s">
        <v>16</v>
      </c>
      <c r="D188" t="s">
        <v>23</v>
      </c>
      <c r="E188" t="s">
        <v>25</v>
      </c>
      <c r="F188" t="s">
        <v>31</v>
      </c>
      <c r="G188" t="s">
        <v>43</v>
      </c>
      <c r="H188" t="s">
        <v>45</v>
      </c>
      <c r="I188">
        <v>6</v>
      </c>
      <c r="J188">
        <v>40258</v>
      </c>
      <c r="K188">
        <v>241548</v>
      </c>
      <c r="L188">
        <v>153604.51999999999</v>
      </c>
      <c r="M188">
        <v>87943.48</v>
      </c>
      <c r="N188" t="s">
        <v>50</v>
      </c>
    </row>
    <row r="189" spans="1:14" x14ac:dyDescent="0.3">
      <c r="A189">
        <v>1188</v>
      </c>
      <c r="B189" s="2">
        <v>45355</v>
      </c>
      <c r="C189" t="s">
        <v>14</v>
      </c>
      <c r="D189" t="s">
        <v>22</v>
      </c>
      <c r="E189" t="s">
        <v>24</v>
      </c>
      <c r="F189" t="s">
        <v>31</v>
      </c>
      <c r="G189" t="s">
        <v>43</v>
      </c>
      <c r="H189" t="s">
        <v>45</v>
      </c>
      <c r="I189">
        <v>8</v>
      </c>
      <c r="J189">
        <v>8529</v>
      </c>
      <c r="K189">
        <v>68232</v>
      </c>
      <c r="L189">
        <v>45501.73</v>
      </c>
      <c r="M189">
        <v>22730.27</v>
      </c>
      <c r="N189" t="s">
        <v>51</v>
      </c>
    </row>
    <row r="190" spans="1:14" x14ac:dyDescent="0.3">
      <c r="A190">
        <v>1189</v>
      </c>
      <c r="B190" s="2">
        <v>45375</v>
      </c>
      <c r="C190" t="s">
        <v>16</v>
      </c>
      <c r="D190" t="s">
        <v>21</v>
      </c>
      <c r="E190" t="s">
        <v>25</v>
      </c>
      <c r="F190" t="s">
        <v>29</v>
      </c>
      <c r="G190" t="s">
        <v>33</v>
      </c>
      <c r="H190" t="s">
        <v>46</v>
      </c>
      <c r="I190">
        <v>4</v>
      </c>
      <c r="J190">
        <v>57208</v>
      </c>
      <c r="K190">
        <v>228832</v>
      </c>
      <c r="L190">
        <v>188918.6</v>
      </c>
      <c r="M190">
        <v>39913.4</v>
      </c>
      <c r="N190" t="s">
        <v>51</v>
      </c>
    </row>
    <row r="191" spans="1:14" x14ac:dyDescent="0.3">
      <c r="A191">
        <v>1190</v>
      </c>
      <c r="B191" s="2">
        <v>45392</v>
      </c>
      <c r="C191" t="s">
        <v>17</v>
      </c>
      <c r="D191" t="s">
        <v>21</v>
      </c>
      <c r="E191" t="s">
        <v>25</v>
      </c>
      <c r="F191" t="s">
        <v>31</v>
      </c>
      <c r="G191" t="s">
        <v>37</v>
      </c>
      <c r="H191" t="s">
        <v>49</v>
      </c>
      <c r="I191">
        <v>8</v>
      </c>
      <c r="J191">
        <v>2018</v>
      </c>
      <c r="K191">
        <v>16144</v>
      </c>
      <c r="L191">
        <v>10049.84</v>
      </c>
      <c r="M191">
        <v>6094.16</v>
      </c>
      <c r="N191" t="s">
        <v>51</v>
      </c>
    </row>
    <row r="192" spans="1:14" x14ac:dyDescent="0.3">
      <c r="A192">
        <v>1191</v>
      </c>
      <c r="B192" s="2">
        <v>45459</v>
      </c>
      <c r="C192" t="s">
        <v>17</v>
      </c>
      <c r="D192" t="s">
        <v>20</v>
      </c>
      <c r="E192" t="s">
        <v>27</v>
      </c>
      <c r="F192" t="s">
        <v>30</v>
      </c>
      <c r="G192" t="s">
        <v>42</v>
      </c>
      <c r="H192" t="s">
        <v>48</v>
      </c>
      <c r="I192">
        <v>5</v>
      </c>
      <c r="J192">
        <v>32933</v>
      </c>
      <c r="K192">
        <v>164665</v>
      </c>
      <c r="L192">
        <v>123396.61</v>
      </c>
      <c r="M192">
        <v>41268.39</v>
      </c>
      <c r="N192" t="s">
        <v>50</v>
      </c>
    </row>
    <row r="193" spans="1:14" x14ac:dyDescent="0.3">
      <c r="A193">
        <v>1192</v>
      </c>
      <c r="B193" s="2">
        <v>45395</v>
      </c>
      <c r="C193" t="s">
        <v>16</v>
      </c>
      <c r="D193" t="s">
        <v>22</v>
      </c>
      <c r="E193" t="s">
        <v>26</v>
      </c>
      <c r="F193" t="s">
        <v>31</v>
      </c>
      <c r="G193" t="s">
        <v>43</v>
      </c>
      <c r="H193" t="s">
        <v>48</v>
      </c>
      <c r="I193">
        <v>5</v>
      </c>
      <c r="J193">
        <v>48177</v>
      </c>
      <c r="K193">
        <v>240885</v>
      </c>
      <c r="L193">
        <v>166558.59</v>
      </c>
      <c r="M193">
        <v>74326.41</v>
      </c>
      <c r="N193" t="s">
        <v>50</v>
      </c>
    </row>
    <row r="194" spans="1:14" x14ac:dyDescent="0.3">
      <c r="A194">
        <v>1193</v>
      </c>
      <c r="B194" s="2">
        <v>45432</v>
      </c>
      <c r="C194" t="s">
        <v>16</v>
      </c>
      <c r="D194" t="s">
        <v>19</v>
      </c>
      <c r="E194" t="s">
        <v>28</v>
      </c>
      <c r="F194" t="s">
        <v>31</v>
      </c>
      <c r="G194" t="s">
        <v>37</v>
      </c>
      <c r="H194" t="s">
        <v>49</v>
      </c>
      <c r="I194">
        <v>2</v>
      </c>
      <c r="J194">
        <v>25819</v>
      </c>
      <c r="K194">
        <v>51638</v>
      </c>
      <c r="L194">
        <v>37492.49</v>
      </c>
      <c r="M194">
        <v>14145.51</v>
      </c>
      <c r="N194" t="s">
        <v>50</v>
      </c>
    </row>
    <row r="195" spans="1:14" x14ac:dyDescent="0.3">
      <c r="A195">
        <v>1194</v>
      </c>
      <c r="B195" s="2">
        <v>45378</v>
      </c>
      <c r="C195" t="s">
        <v>16</v>
      </c>
      <c r="D195" t="s">
        <v>21</v>
      </c>
      <c r="E195" t="s">
        <v>25</v>
      </c>
      <c r="F195" t="s">
        <v>30</v>
      </c>
      <c r="G195" t="s">
        <v>42</v>
      </c>
      <c r="H195" t="s">
        <v>49</v>
      </c>
      <c r="I195">
        <v>7</v>
      </c>
      <c r="J195">
        <v>24957</v>
      </c>
      <c r="K195">
        <v>174699</v>
      </c>
      <c r="L195">
        <v>139536.34</v>
      </c>
      <c r="M195">
        <v>35162.660000000003</v>
      </c>
      <c r="N195" t="s">
        <v>51</v>
      </c>
    </row>
    <row r="196" spans="1:14" x14ac:dyDescent="0.3">
      <c r="A196">
        <v>1195</v>
      </c>
      <c r="B196" s="2">
        <v>45377</v>
      </c>
      <c r="C196" t="s">
        <v>17</v>
      </c>
      <c r="D196" t="s">
        <v>19</v>
      </c>
      <c r="E196" t="s">
        <v>26</v>
      </c>
      <c r="F196" t="s">
        <v>29</v>
      </c>
      <c r="G196" t="s">
        <v>32</v>
      </c>
      <c r="H196" t="s">
        <v>47</v>
      </c>
      <c r="I196">
        <v>1</v>
      </c>
      <c r="J196">
        <v>3050</v>
      </c>
      <c r="K196">
        <v>3050</v>
      </c>
      <c r="L196">
        <v>1934.49</v>
      </c>
      <c r="M196">
        <v>1115.51</v>
      </c>
      <c r="N196" t="s">
        <v>50</v>
      </c>
    </row>
    <row r="197" spans="1:14" x14ac:dyDescent="0.3">
      <c r="A197">
        <v>1196</v>
      </c>
      <c r="B197" s="2">
        <v>45368</v>
      </c>
      <c r="C197" t="s">
        <v>16</v>
      </c>
      <c r="D197" t="s">
        <v>19</v>
      </c>
      <c r="E197" t="s">
        <v>27</v>
      </c>
      <c r="F197" t="s">
        <v>31</v>
      </c>
      <c r="G197" t="s">
        <v>37</v>
      </c>
      <c r="H197" t="s">
        <v>49</v>
      </c>
      <c r="I197">
        <v>3</v>
      </c>
      <c r="J197">
        <v>26252</v>
      </c>
      <c r="K197">
        <v>78756</v>
      </c>
      <c r="L197">
        <v>66757.83</v>
      </c>
      <c r="M197">
        <v>11998.17</v>
      </c>
      <c r="N197" t="s">
        <v>51</v>
      </c>
    </row>
    <row r="198" spans="1:14" x14ac:dyDescent="0.3">
      <c r="A198">
        <v>1197</v>
      </c>
      <c r="B198" s="2">
        <v>45376</v>
      </c>
      <c r="C198" t="s">
        <v>15</v>
      </c>
      <c r="D198" t="s">
        <v>23</v>
      </c>
      <c r="E198" t="s">
        <v>27</v>
      </c>
      <c r="F198" t="s">
        <v>29</v>
      </c>
      <c r="G198" t="s">
        <v>38</v>
      </c>
      <c r="H198" t="s">
        <v>45</v>
      </c>
      <c r="I198">
        <v>8</v>
      </c>
      <c r="J198">
        <v>53960</v>
      </c>
      <c r="K198">
        <v>431680</v>
      </c>
      <c r="L198">
        <v>260803.46</v>
      </c>
      <c r="M198">
        <v>170876.54</v>
      </c>
      <c r="N198" t="s">
        <v>50</v>
      </c>
    </row>
    <row r="199" spans="1:14" x14ac:dyDescent="0.3">
      <c r="A199">
        <v>1198</v>
      </c>
      <c r="B199" s="2">
        <v>45440</v>
      </c>
      <c r="C199" t="s">
        <v>14</v>
      </c>
      <c r="D199" t="s">
        <v>18</v>
      </c>
      <c r="E199" t="s">
        <v>24</v>
      </c>
      <c r="F199" t="s">
        <v>29</v>
      </c>
      <c r="G199" t="s">
        <v>33</v>
      </c>
      <c r="H199" t="s">
        <v>49</v>
      </c>
      <c r="I199">
        <v>5</v>
      </c>
      <c r="J199">
        <v>43464</v>
      </c>
      <c r="K199">
        <v>217320</v>
      </c>
      <c r="L199">
        <v>172927.17</v>
      </c>
      <c r="M199">
        <v>44392.83</v>
      </c>
      <c r="N199" t="s">
        <v>51</v>
      </c>
    </row>
    <row r="200" spans="1:14" x14ac:dyDescent="0.3">
      <c r="A200">
        <v>1199</v>
      </c>
      <c r="B200" s="2">
        <v>45300</v>
      </c>
      <c r="C200" t="s">
        <v>15</v>
      </c>
      <c r="D200" t="s">
        <v>21</v>
      </c>
      <c r="E200" t="s">
        <v>24</v>
      </c>
      <c r="F200" t="s">
        <v>30</v>
      </c>
      <c r="G200" t="s">
        <v>34</v>
      </c>
      <c r="H200" t="s">
        <v>46</v>
      </c>
      <c r="I200">
        <v>3</v>
      </c>
      <c r="J200">
        <v>54348</v>
      </c>
      <c r="K200">
        <v>163044</v>
      </c>
      <c r="L200">
        <v>125573.51</v>
      </c>
      <c r="M200">
        <v>37470.49</v>
      </c>
      <c r="N200" t="s">
        <v>51</v>
      </c>
    </row>
    <row r="201" spans="1:14" x14ac:dyDescent="0.3">
      <c r="A201">
        <v>1200</v>
      </c>
      <c r="B201" s="2">
        <v>45420</v>
      </c>
      <c r="C201" t="s">
        <v>17</v>
      </c>
      <c r="D201" t="s">
        <v>18</v>
      </c>
      <c r="E201" t="s">
        <v>28</v>
      </c>
      <c r="F201" t="s">
        <v>31</v>
      </c>
      <c r="G201" t="s">
        <v>43</v>
      </c>
      <c r="H201" t="s">
        <v>48</v>
      </c>
      <c r="I201">
        <v>7</v>
      </c>
      <c r="J201">
        <v>45752</v>
      </c>
      <c r="K201">
        <v>320264</v>
      </c>
      <c r="L201">
        <v>208483.19</v>
      </c>
      <c r="M201">
        <v>111780.81</v>
      </c>
      <c r="N20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FAF2-085A-4A2E-A1D4-36A4F7BAF00B}">
  <dimension ref="A1:Q1048576"/>
  <sheetViews>
    <sheetView topLeftCell="B1" zoomScaleNormal="100" workbookViewId="0">
      <selection activeCell="I202" sqref="I202"/>
    </sheetView>
  </sheetViews>
  <sheetFormatPr defaultRowHeight="14.4" x14ac:dyDescent="0.3"/>
  <cols>
    <col min="1" max="1" width="13" style="5" bestFit="1" customWidth="1"/>
    <col min="2" max="2" width="15.109375" style="5" bestFit="1" customWidth="1"/>
    <col min="3" max="3" width="11.21875" style="5" bestFit="1" customWidth="1"/>
    <col min="4" max="4" width="11.44140625" style="5" bestFit="1" customWidth="1"/>
    <col min="5" max="5" width="10.6640625" style="5" bestFit="1" customWidth="1"/>
    <col min="6" max="6" width="20.77734375" style="5" bestFit="1" customWidth="1"/>
    <col min="7" max="7" width="18.21875" style="5" bestFit="1" customWidth="1"/>
    <col min="8" max="8" width="13.88671875" style="5" bestFit="1" customWidth="1"/>
    <col min="9" max="9" width="12.77734375" style="5" bestFit="1" customWidth="1"/>
    <col min="10" max="10" width="14.109375" style="5" bestFit="1" customWidth="1"/>
    <col min="11" max="11" width="12.77734375" style="5" bestFit="1" customWidth="1"/>
    <col min="12" max="12" width="10" style="5" bestFit="1" customWidth="1"/>
    <col min="13" max="13" width="10.109375" style="5" bestFit="1" customWidth="1"/>
    <col min="14" max="14" width="18.77734375" style="5" bestFit="1" customWidth="1"/>
  </cols>
  <sheetData>
    <row r="1" spans="1:17" x14ac:dyDescent="0.3">
      <c r="A1" s="5" t="s">
        <v>0</v>
      </c>
      <c r="B1" s="5" t="s">
        <v>1</v>
      </c>
      <c r="C1" s="5" t="s">
        <v>2</v>
      </c>
      <c r="D1" s="5" t="s">
        <v>3</v>
      </c>
      <c r="E1" s="5" t="s">
        <v>4</v>
      </c>
      <c r="F1" s="5" t="s">
        <v>5</v>
      </c>
      <c r="G1" s="5" t="s">
        <v>6</v>
      </c>
      <c r="H1" s="5" t="s">
        <v>7</v>
      </c>
      <c r="I1" s="5" t="s">
        <v>8</v>
      </c>
      <c r="J1" s="5" t="s">
        <v>9</v>
      </c>
      <c r="K1" s="5" t="s">
        <v>10</v>
      </c>
      <c r="L1" s="5" t="s">
        <v>11</v>
      </c>
      <c r="M1" s="5" t="s">
        <v>12</v>
      </c>
      <c r="N1" s="5" t="s">
        <v>13</v>
      </c>
    </row>
    <row r="2" spans="1:17" x14ac:dyDescent="0.3">
      <c r="A2" s="5">
        <v>1001</v>
      </c>
      <c r="B2" s="6">
        <v>45349</v>
      </c>
      <c r="C2" s="5" t="s">
        <v>14</v>
      </c>
      <c r="D2" s="5" t="s">
        <v>18</v>
      </c>
      <c r="E2" s="5" t="s">
        <v>24</v>
      </c>
      <c r="F2" s="5" t="s">
        <v>29</v>
      </c>
      <c r="G2" s="5" t="s">
        <v>32</v>
      </c>
      <c r="H2" s="5" t="s">
        <v>44</v>
      </c>
      <c r="I2" s="5">
        <v>1</v>
      </c>
      <c r="J2" s="5">
        <v>49098</v>
      </c>
      <c r="K2" s="5">
        <v>49098</v>
      </c>
      <c r="L2" s="5">
        <v>32834.65</v>
      </c>
      <c r="M2" s="5">
        <v>16263.35</v>
      </c>
      <c r="N2" s="5" t="s">
        <v>50</v>
      </c>
    </row>
    <row r="3" spans="1:17" x14ac:dyDescent="0.3">
      <c r="A3" s="5">
        <v>1002</v>
      </c>
      <c r="B3" s="6">
        <v>45351</v>
      </c>
      <c r="C3" s="5" t="s">
        <v>15</v>
      </c>
      <c r="D3" s="5" t="s">
        <v>19</v>
      </c>
      <c r="E3" s="5" t="s">
        <v>25</v>
      </c>
      <c r="F3" s="5" t="s">
        <v>29</v>
      </c>
      <c r="G3" s="5" t="s">
        <v>33</v>
      </c>
      <c r="H3" s="5" t="s">
        <v>44</v>
      </c>
      <c r="I3" s="5">
        <v>1</v>
      </c>
      <c r="J3" s="5">
        <v>2452</v>
      </c>
      <c r="K3" s="5">
        <v>2452</v>
      </c>
      <c r="L3" s="5">
        <v>1528.64</v>
      </c>
      <c r="M3" s="5">
        <v>923.36</v>
      </c>
      <c r="N3" s="5" t="s">
        <v>51</v>
      </c>
    </row>
    <row r="4" spans="1:17" x14ac:dyDescent="0.3">
      <c r="A4" s="5">
        <v>1003</v>
      </c>
      <c r="B4" s="6">
        <v>45293</v>
      </c>
      <c r="C4" s="5" t="s">
        <v>14</v>
      </c>
      <c r="D4" s="5" t="s">
        <v>18</v>
      </c>
      <c r="E4" s="5" t="s">
        <v>26</v>
      </c>
      <c r="F4" s="5" t="s">
        <v>30</v>
      </c>
      <c r="G4" s="5" t="s">
        <v>34</v>
      </c>
      <c r="H4" s="5" t="s">
        <v>45</v>
      </c>
      <c r="I4" s="5">
        <v>10</v>
      </c>
      <c r="J4" s="5">
        <v>18731</v>
      </c>
      <c r="K4" s="5">
        <v>187310</v>
      </c>
      <c r="L4" s="5">
        <v>150289.60000000001</v>
      </c>
      <c r="M4" s="5">
        <v>37020.400000000001</v>
      </c>
      <c r="N4" s="5" t="s">
        <v>51</v>
      </c>
    </row>
    <row r="5" spans="1:17" x14ac:dyDescent="0.3">
      <c r="A5" s="5">
        <v>1004</v>
      </c>
      <c r="B5" s="6">
        <v>45316</v>
      </c>
      <c r="C5" s="5" t="s">
        <v>16</v>
      </c>
      <c r="D5" s="5" t="s">
        <v>20</v>
      </c>
      <c r="E5" s="5" t="s">
        <v>27</v>
      </c>
      <c r="F5" s="5" t="s">
        <v>30</v>
      </c>
      <c r="G5" s="5" t="s">
        <v>35</v>
      </c>
      <c r="H5" s="5" t="s">
        <v>45</v>
      </c>
      <c r="I5" s="5">
        <v>6</v>
      </c>
      <c r="J5" s="5">
        <v>7198</v>
      </c>
      <c r="K5" s="5">
        <v>43188</v>
      </c>
      <c r="L5" s="5">
        <v>26914.18</v>
      </c>
      <c r="M5" s="5">
        <v>16273.82</v>
      </c>
      <c r="N5" s="5" t="s">
        <v>50</v>
      </c>
    </row>
    <row r="6" spans="1:17" x14ac:dyDescent="0.3">
      <c r="A6" s="5">
        <v>1005</v>
      </c>
      <c r="B6" s="6">
        <v>45388</v>
      </c>
      <c r="C6" s="5" t="s">
        <v>15</v>
      </c>
      <c r="D6" s="5" t="s">
        <v>19</v>
      </c>
      <c r="E6" s="5" t="s">
        <v>20</v>
      </c>
      <c r="F6" s="5" t="s">
        <v>29</v>
      </c>
      <c r="G6" s="5" t="s">
        <v>33</v>
      </c>
      <c r="H6" s="5" t="s">
        <v>44</v>
      </c>
      <c r="I6" s="5">
        <v>9</v>
      </c>
      <c r="J6" s="5">
        <v>8680</v>
      </c>
      <c r="K6" s="5">
        <v>78120</v>
      </c>
      <c r="L6" s="5">
        <v>65876.95</v>
      </c>
      <c r="M6" s="5">
        <v>12243.05</v>
      </c>
      <c r="N6" s="5" t="s">
        <v>51</v>
      </c>
    </row>
    <row r="7" spans="1:17" x14ac:dyDescent="0.3">
      <c r="A7" s="5">
        <v>1006</v>
      </c>
      <c r="B7" s="6">
        <v>45366</v>
      </c>
      <c r="C7" s="5" t="s">
        <v>15</v>
      </c>
      <c r="D7" s="5" t="s">
        <v>21</v>
      </c>
      <c r="E7" s="5" t="s">
        <v>24</v>
      </c>
      <c r="F7" s="5" t="s">
        <v>29</v>
      </c>
      <c r="G7" s="5" t="s">
        <v>36</v>
      </c>
      <c r="H7" s="5" t="s">
        <v>46</v>
      </c>
      <c r="I7" s="5">
        <v>2</v>
      </c>
      <c r="J7" s="5">
        <v>3503</v>
      </c>
      <c r="K7" s="5">
        <v>7006</v>
      </c>
      <c r="L7" s="5">
        <v>5361.8</v>
      </c>
      <c r="M7" s="5">
        <v>1644.2</v>
      </c>
      <c r="N7" s="5" t="s">
        <v>51</v>
      </c>
    </row>
    <row r="8" spans="1:17" x14ac:dyDescent="0.3">
      <c r="A8" s="5">
        <v>1007</v>
      </c>
      <c r="B8" s="6">
        <v>45463</v>
      </c>
      <c r="C8" s="5" t="s">
        <v>16</v>
      </c>
      <c r="D8" s="5" t="s">
        <v>18</v>
      </c>
      <c r="E8" s="5" t="s">
        <v>28</v>
      </c>
      <c r="F8" s="5" t="s">
        <v>31</v>
      </c>
      <c r="G8" s="5" t="s">
        <v>37</v>
      </c>
      <c r="H8" s="5" t="s">
        <v>44</v>
      </c>
      <c r="I8" s="5">
        <v>3</v>
      </c>
      <c r="J8" s="5">
        <v>24760</v>
      </c>
      <c r="K8" s="5">
        <v>74280</v>
      </c>
      <c r="L8" s="5">
        <v>51165.38</v>
      </c>
      <c r="M8" s="5">
        <v>23114.62</v>
      </c>
      <c r="N8" s="5" t="s">
        <v>50</v>
      </c>
      <c r="Q8" s="3"/>
    </row>
    <row r="9" spans="1:17" x14ac:dyDescent="0.3">
      <c r="A9" s="5">
        <v>1008</v>
      </c>
      <c r="B9" s="6">
        <v>45410</v>
      </c>
      <c r="C9" s="5" t="s">
        <v>17</v>
      </c>
      <c r="D9" s="5" t="s">
        <v>20</v>
      </c>
      <c r="E9" s="5" t="s">
        <v>28</v>
      </c>
      <c r="F9" s="5" t="s">
        <v>29</v>
      </c>
      <c r="G9" s="5" t="s">
        <v>36</v>
      </c>
      <c r="H9" s="5" t="s">
        <v>44</v>
      </c>
      <c r="I9" s="5">
        <v>9</v>
      </c>
      <c r="J9" s="5">
        <v>48284</v>
      </c>
      <c r="K9" s="5">
        <v>434556</v>
      </c>
      <c r="L9" s="5">
        <v>287329.61</v>
      </c>
      <c r="M9" s="5">
        <v>147226.39000000001</v>
      </c>
      <c r="N9" s="5" t="s">
        <v>50</v>
      </c>
    </row>
    <row r="10" spans="1:17" x14ac:dyDescent="0.3">
      <c r="A10" s="5">
        <v>1009</v>
      </c>
      <c r="B10" s="6">
        <v>45372</v>
      </c>
      <c r="C10" s="5" t="s">
        <v>17</v>
      </c>
      <c r="D10" s="5" t="s">
        <v>20</v>
      </c>
      <c r="E10" s="5" t="s">
        <v>24</v>
      </c>
      <c r="F10" s="5" t="s">
        <v>29</v>
      </c>
      <c r="G10" s="5" t="s">
        <v>38</v>
      </c>
      <c r="H10" s="5" t="s">
        <v>47</v>
      </c>
      <c r="I10" s="5">
        <v>1</v>
      </c>
      <c r="J10" s="5">
        <v>15510</v>
      </c>
      <c r="K10" s="5">
        <v>15510</v>
      </c>
      <c r="L10" s="5">
        <v>12492.54</v>
      </c>
      <c r="M10" s="5">
        <v>3017.46</v>
      </c>
      <c r="N10" s="5" t="s">
        <v>51</v>
      </c>
    </row>
    <row r="11" spans="1:17" x14ac:dyDescent="0.3">
      <c r="A11" s="5">
        <v>1010</v>
      </c>
      <c r="B11" s="6">
        <v>45409</v>
      </c>
      <c r="C11" s="5" t="s">
        <v>14</v>
      </c>
      <c r="D11" s="5" t="s">
        <v>20</v>
      </c>
      <c r="E11" s="5" t="s">
        <v>25</v>
      </c>
      <c r="F11" s="5" t="s">
        <v>30</v>
      </c>
      <c r="G11" s="5" t="s">
        <v>34</v>
      </c>
      <c r="H11" s="5" t="s">
        <v>47</v>
      </c>
      <c r="I11" s="5">
        <v>7</v>
      </c>
      <c r="J11" s="5">
        <v>58478</v>
      </c>
      <c r="K11" s="5">
        <v>409346</v>
      </c>
      <c r="L11" s="5">
        <v>339199.2</v>
      </c>
      <c r="M11" s="5">
        <v>70146.8</v>
      </c>
      <c r="N11" s="5" t="s">
        <v>51</v>
      </c>
    </row>
    <row r="12" spans="1:17" x14ac:dyDescent="0.3">
      <c r="A12" s="5">
        <v>1011</v>
      </c>
      <c r="B12" s="6">
        <v>45327</v>
      </c>
      <c r="C12" s="5" t="s">
        <v>17</v>
      </c>
      <c r="D12" s="5" t="s">
        <v>22</v>
      </c>
      <c r="E12" s="5" t="s">
        <v>24</v>
      </c>
      <c r="F12" s="5" t="s">
        <v>29</v>
      </c>
      <c r="G12" s="5" t="s">
        <v>33</v>
      </c>
      <c r="H12" s="5" t="s">
        <v>48</v>
      </c>
      <c r="I12" s="5">
        <v>10</v>
      </c>
      <c r="J12" s="5">
        <v>26675</v>
      </c>
      <c r="K12" s="5">
        <v>266750</v>
      </c>
      <c r="L12" s="5">
        <v>184190.64</v>
      </c>
      <c r="M12" s="5">
        <v>82559.360000000001</v>
      </c>
      <c r="N12" s="5" t="s">
        <v>50</v>
      </c>
    </row>
    <row r="13" spans="1:17" x14ac:dyDescent="0.3">
      <c r="A13" s="5">
        <v>1012</v>
      </c>
      <c r="B13" s="6">
        <v>45389</v>
      </c>
      <c r="C13" s="5" t="s">
        <v>17</v>
      </c>
      <c r="D13" s="5" t="s">
        <v>19</v>
      </c>
      <c r="E13" s="5" t="s">
        <v>20</v>
      </c>
      <c r="F13" s="5" t="s">
        <v>29</v>
      </c>
      <c r="G13" s="5" t="s">
        <v>36</v>
      </c>
      <c r="H13" s="5" t="s">
        <v>49</v>
      </c>
      <c r="I13" s="5">
        <v>7</v>
      </c>
      <c r="J13" s="5">
        <v>39586</v>
      </c>
      <c r="K13" s="5">
        <v>277102</v>
      </c>
      <c r="L13" s="5">
        <v>170662.11</v>
      </c>
      <c r="M13" s="5">
        <v>106439.89</v>
      </c>
      <c r="N13" s="5" t="s">
        <v>50</v>
      </c>
    </row>
    <row r="14" spans="1:17" x14ac:dyDescent="0.3">
      <c r="A14" s="5">
        <v>1013</v>
      </c>
      <c r="B14" s="6">
        <v>45456</v>
      </c>
      <c r="C14" s="5" t="s">
        <v>16</v>
      </c>
      <c r="D14" s="5" t="s">
        <v>22</v>
      </c>
      <c r="E14" s="5" t="s">
        <v>20</v>
      </c>
      <c r="F14" s="5" t="s">
        <v>29</v>
      </c>
      <c r="G14" s="5" t="s">
        <v>32</v>
      </c>
      <c r="H14" s="5" t="s">
        <v>46</v>
      </c>
      <c r="I14" s="5">
        <v>9</v>
      </c>
      <c r="J14" s="5">
        <v>49709</v>
      </c>
      <c r="K14" s="5">
        <v>447381</v>
      </c>
      <c r="L14" s="5">
        <v>298271.73</v>
      </c>
      <c r="M14" s="5">
        <v>149109.26999999999</v>
      </c>
      <c r="N14" s="5" t="s">
        <v>50</v>
      </c>
    </row>
    <row r="15" spans="1:17" x14ac:dyDescent="0.3">
      <c r="A15" s="5">
        <v>1014</v>
      </c>
      <c r="B15" s="6">
        <v>45421</v>
      </c>
      <c r="C15" s="5" t="s">
        <v>15</v>
      </c>
      <c r="D15" s="5" t="s">
        <v>18</v>
      </c>
      <c r="E15" s="5" t="s">
        <v>20</v>
      </c>
      <c r="F15" s="5" t="s">
        <v>31</v>
      </c>
      <c r="G15" s="5" t="s">
        <v>39</v>
      </c>
      <c r="H15" s="5" t="s">
        <v>44</v>
      </c>
      <c r="I15" s="5">
        <v>5</v>
      </c>
      <c r="J15" s="5">
        <v>33306</v>
      </c>
      <c r="K15" s="5">
        <v>166530</v>
      </c>
      <c r="L15" s="5">
        <v>131640.39000000001</v>
      </c>
      <c r="M15" s="5">
        <v>34889.61</v>
      </c>
      <c r="N15" s="5" t="s">
        <v>50</v>
      </c>
    </row>
    <row r="16" spans="1:17" x14ac:dyDescent="0.3">
      <c r="A16" s="5">
        <v>1015</v>
      </c>
      <c r="B16" s="6">
        <v>45427</v>
      </c>
      <c r="C16" s="5" t="s">
        <v>15</v>
      </c>
      <c r="D16" s="5" t="s">
        <v>19</v>
      </c>
      <c r="E16" s="5" t="s">
        <v>20</v>
      </c>
      <c r="F16" s="5" t="s">
        <v>30</v>
      </c>
      <c r="G16" s="5" t="s">
        <v>40</v>
      </c>
      <c r="H16" s="5" t="s">
        <v>46</v>
      </c>
      <c r="I16" s="5">
        <v>3</v>
      </c>
      <c r="J16" s="5">
        <v>35848</v>
      </c>
      <c r="K16" s="5">
        <v>107544</v>
      </c>
      <c r="L16" s="5">
        <v>90162.19</v>
      </c>
      <c r="M16" s="5">
        <v>17381.810000000001</v>
      </c>
      <c r="N16" s="5" t="s">
        <v>50</v>
      </c>
    </row>
    <row r="17" spans="1:14" x14ac:dyDescent="0.3">
      <c r="A17" s="5">
        <v>1016</v>
      </c>
      <c r="B17" s="6">
        <v>45437</v>
      </c>
      <c r="C17" s="5" t="s">
        <v>15</v>
      </c>
      <c r="D17" s="5" t="s">
        <v>22</v>
      </c>
      <c r="E17" s="5" t="s">
        <v>28</v>
      </c>
      <c r="F17" s="5" t="s">
        <v>30</v>
      </c>
      <c r="G17" s="5" t="s">
        <v>40</v>
      </c>
      <c r="H17" s="5" t="s">
        <v>46</v>
      </c>
      <c r="I17" s="5">
        <v>5</v>
      </c>
      <c r="J17" s="5">
        <v>16192</v>
      </c>
      <c r="K17" s="5">
        <v>80960</v>
      </c>
      <c r="L17" s="5">
        <v>49748.41</v>
      </c>
      <c r="M17" s="5">
        <v>31211.59</v>
      </c>
      <c r="N17" s="5" t="s">
        <v>50</v>
      </c>
    </row>
    <row r="18" spans="1:14" x14ac:dyDescent="0.3">
      <c r="A18" s="5">
        <v>1017</v>
      </c>
      <c r="B18" s="6">
        <v>45432</v>
      </c>
      <c r="C18" s="5" t="s">
        <v>14</v>
      </c>
      <c r="D18" s="5" t="s">
        <v>20</v>
      </c>
      <c r="E18" s="5" t="s">
        <v>27</v>
      </c>
      <c r="F18" s="5" t="s">
        <v>29</v>
      </c>
      <c r="G18" s="5" t="s">
        <v>36</v>
      </c>
      <c r="H18" s="5" t="s">
        <v>49</v>
      </c>
      <c r="I18" s="5">
        <v>3</v>
      </c>
      <c r="J18" s="5">
        <v>43737</v>
      </c>
      <c r="K18" s="5">
        <v>131211</v>
      </c>
      <c r="L18" s="5">
        <v>94317.17</v>
      </c>
      <c r="M18" s="5">
        <v>36893.83</v>
      </c>
      <c r="N18" s="5" t="s">
        <v>51</v>
      </c>
    </row>
    <row r="19" spans="1:14" x14ac:dyDescent="0.3">
      <c r="A19" s="5">
        <v>1018</v>
      </c>
      <c r="B19" s="6">
        <v>45458</v>
      </c>
      <c r="C19" s="5" t="s">
        <v>16</v>
      </c>
      <c r="D19" s="5" t="s">
        <v>23</v>
      </c>
      <c r="E19" s="5" t="s">
        <v>27</v>
      </c>
      <c r="F19" s="5" t="s">
        <v>30</v>
      </c>
      <c r="G19" s="5" t="s">
        <v>35</v>
      </c>
      <c r="H19" s="5" t="s">
        <v>46</v>
      </c>
      <c r="I19" s="5">
        <v>5</v>
      </c>
      <c r="J19" s="5">
        <v>26648</v>
      </c>
      <c r="K19" s="5">
        <v>133240</v>
      </c>
      <c r="L19" s="5">
        <v>113092.43</v>
      </c>
      <c r="M19" s="5">
        <v>20147.57</v>
      </c>
      <c r="N19" s="5" t="s">
        <v>50</v>
      </c>
    </row>
    <row r="20" spans="1:14" x14ac:dyDescent="0.3">
      <c r="A20" s="5">
        <v>1019</v>
      </c>
      <c r="B20" s="6">
        <v>45433</v>
      </c>
      <c r="C20" s="5" t="s">
        <v>14</v>
      </c>
      <c r="D20" s="5" t="s">
        <v>19</v>
      </c>
      <c r="E20" s="5" t="s">
        <v>25</v>
      </c>
      <c r="F20" s="5" t="s">
        <v>30</v>
      </c>
      <c r="G20" s="5" t="s">
        <v>35</v>
      </c>
      <c r="H20" s="5" t="s">
        <v>48</v>
      </c>
      <c r="I20" s="5">
        <v>2</v>
      </c>
      <c r="J20" s="5">
        <v>22656</v>
      </c>
      <c r="K20" s="5">
        <v>45312</v>
      </c>
      <c r="L20" s="5">
        <v>27425.48</v>
      </c>
      <c r="M20" s="5">
        <v>17886.52</v>
      </c>
      <c r="N20" s="5" t="s">
        <v>50</v>
      </c>
    </row>
    <row r="21" spans="1:14" x14ac:dyDescent="0.3">
      <c r="A21" s="5">
        <v>1020</v>
      </c>
      <c r="B21" s="6">
        <v>45376</v>
      </c>
      <c r="C21" s="5" t="s">
        <v>15</v>
      </c>
      <c r="D21" s="5" t="s">
        <v>19</v>
      </c>
      <c r="E21" s="5" t="s">
        <v>25</v>
      </c>
      <c r="F21" s="5" t="s">
        <v>29</v>
      </c>
      <c r="G21" s="5" t="s">
        <v>32</v>
      </c>
      <c r="H21" s="5" t="s">
        <v>45</v>
      </c>
      <c r="I21" s="5">
        <v>4</v>
      </c>
      <c r="J21" s="5">
        <v>4917</v>
      </c>
      <c r="K21" s="5">
        <v>19668</v>
      </c>
      <c r="L21" s="5">
        <v>16252.75</v>
      </c>
      <c r="M21" s="5">
        <v>3415.25</v>
      </c>
      <c r="N21" s="5" t="s">
        <v>51</v>
      </c>
    </row>
    <row r="22" spans="1:14" x14ac:dyDescent="0.3">
      <c r="A22" s="5">
        <v>1021</v>
      </c>
      <c r="B22" s="6">
        <v>45413</v>
      </c>
      <c r="C22" s="5" t="s">
        <v>17</v>
      </c>
      <c r="D22" s="5" t="s">
        <v>21</v>
      </c>
      <c r="E22" s="5" t="s">
        <v>24</v>
      </c>
      <c r="F22" s="5" t="s">
        <v>30</v>
      </c>
      <c r="G22" s="5" t="s">
        <v>35</v>
      </c>
      <c r="H22" s="5" t="s">
        <v>48</v>
      </c>
      <c r="I22" s="5">
        <v>10</v>
      </c>
      <c r="J22" s="5">
        <v>38262</v>
      </c>
      <c r="K22" s="5">
        <v>382620</v>
      </c>
      <c r="L22" s="5">
        <v>274785.34999999998</v>
      </c>
      <c r="M22" s="5">
        <v>107834.65</v>
      </c>
      <c r="N22" s="5" t="s">
        <v>51</v>
      </c>
    </row>
    <row r="23" spans="1:14" x14ac:dyDescent="0.3">
      <c r="A23" s="5">
        <v>1022</v>
      </c>
      <c r="B23" s="6">
        <v>45305</v>
      </c>
      <c r="C23" s="5" t="s">
        <v>15</v>
      </c>
      <c r="D23" s="5" t="s">
        <v>22</v>
      </c>
      <c r="E23" s="5" t="s">
        <v>26</v>
      </c>
      <c r="F23" s="5" t="s">
        <v>31</v>
      </c>
      <c r="G23" s="5" t="s">
        <v>41</v>
      </c>
      <c r="H23" s="5" t="s">
        <v>44</v>
      </c>
      <c r="I23" s="5">
        <v>7</v>
      </c>
      <c r="J23" s="5">
        <v>31106</v>
      </c>
      <c r="K23" s="5">
        <v>217742</v>
      </c>
      <c r="L23" s="5">
        <v>177668.59</v>
      </c>
      <c r="M23" s="5">
        <v>40073.410000000003</v>
      </c>
      <c r="N23" s="5" t="s">
        <v>51</v>
      </c>
    </row>
    <row r="24" spans="1:14" x14ac:dyDescent="0.3">
      <c r="A24" s="5">
        <v>1023</v>
      </c>
      <c r="B24" s="6">
        <v>45327</v>
      </c>
      <c r="C24" s="5" t="s">
        <v>17</v>
      </c>
      <c r="D24" s="5" t="s">
        <v>21</v>
      </c>
      <c r="E24" s="5" t="s">
        <v>20</v>
      </c>
      <c r="F24" s="5" t="s">
        <v>30</v>
      </c>
      <c r="G24" s="5" t="s">
        <v>35</v>
      </c>
      <c r="H24" s="5" t="s">
        <v>46</v>
      </c>
      <c r="I24" s="5">
        <v>4</v>
      </c>
      <c r="J24" s="5">
        <v>12965</v>
      </c>
      <c r="K24" s="5">
        <v>51860</v>
      </c>
      <c r="L24" s="5">
        <v>38068.94</v>
      </c>
      <c r="M24" s="5">
        <v>13791.06</v>
      </c>
      <c r="N24" s="5" t="s">
        <v>50</v>
      </c>
    </row>
    <row r="25" spans="1:14" x14ac:dyDescent="0.3">
      <c r="A25" s="5">
        <v>1024</v>
      </c>
      <c r="B25" s="6">
        <v>45430</v>
      </c>
      <c r="C25" s="5" t="s">
        <v>15</v>
      </c>
      <c r="D25" s="5" t="s">
        <v>22</v>
      </c>
      <c r="E25" s="5" t="s">
        <v>25</v>
      </c>
      <c r="F25" s="5" t="s">
        <v>30</v>
      </c>
      <c r="G25" s="5" t="s">
        <v>34</v>
      </c>
      <c r="H25" s="5" t="s">
        <v>47</v>
      </c>
      <c r="I25" s="5">
        <v>9</v>
      </c>
      <c r="J25" s="5">
        <v>6916</v>
      </c>
      <c r="K25" s="5">
        <v>62244</v>
      </c>
      <c r="L25" s="5">
        <v>38133.599999999999</v>
      </c>
      <c r="M25" s="5">
        <v>24110.400000000001</v>
      </c>
      <c r="N25" s="5" t="s">
        <v>51</v>
      </c>
    </row>
    <row r="26" spans="1:14" x14ac:dyDescent="0.3">
      <c r="A26" s="5">
        <v>1025</v>
      </c>
      <c r="B26" s="6">
        <v>45307</v>
      </c>
      <c r="C26" s="5" t="s">
        <v>14</v>
      </c>
      <c r="D26" s="5" t="s">
        <v>23</v>
      </c>
      <c r="E26" s="5" t="s">
        <v>24</v>
      </c>
      <c r="F26" s="5" t="s">
        <v>31</v>
      </c>
      <c r="G26" s="5" t="s">
        <v>41</v>
      </c>
      <c r="H26" s="5" t="s">
        <v>46</v>
      </c>
      <c r="I26" s="5">
        <v>4</v>
      </c>
      <c r="J26" s="5">
        <v>57165</v>
      </c>
      <c r="K26" s="5">
        <v>228660</v>
      </c>
      <c r="L26" s="5">
        <v>160121.47</v>
      </c>
      <c r="M26" s="5">
        <v>68538.53</v>
      </c>
      <c r="N26" s="5" t="s">
        <v>51</v>
      </c>
    </row>
    <row r="27" spans="1:14" x14ac:dyDescent="0.3">
      <c r="A27" s="5">
        <v>1026</v>
      </c>
      <c r="B27" s="6">
        <v>45434</v>
      </c>
      <c r="C27" s="5" t="s">
        <v>17</v>
      </c>
      <c r="D27" s="5" t="s">
        <v>21</v>
      </c>
      <c r="E27" s="5" t="s">
        <v>25</v>
      </c>
      <c r="F27" s="5" t="s">
        <v>31</v>
      </c>
      <c r="G27" s="5" t="s">
        <v>37</v>
      </c>
      <c r="H27" s="5" t="s">
        <v>45</v>
      </c>
      <c r="I27" s="5">
        <v>7</v>
      </c>
      <c r="J27" s="5">
        <v>46151</v>
      </c>
      <c r="K27" s="5">
        <v>323057</v>
      </c>
      <c r="L27" s="5">
        <v>271151.24</v>
      </c>
      <c r="M27" s="5">
        <v>51905.760000000002</v>
      </c>
      <c r="N27" s="5" t="s">
        <v>50</v>
      </c>
    </row>
    <row r="28" spans="1:14" x14ac:dyDescent="0.3">
      <c r="A28" s="5">
        <v>1027</v>
      </c>
      <c r="B28" s="6">
        <v>45414</v>
      </c>
      <c r="C28" s="5" t="s">
        <v>14</v>
      </c>
      <c r="D28" s="5" t="s">
        <v>22</v>
      </c>
      <c r="E28" s="5" t="s">
        <v>27</v>
      </c>
      <c r="F28" s="5" t="s">
        <v>30</v>
      </c>
      <c r="G28" s="5" t="s">
        <v>42</v>
      </c>
      <c r="H28" s="5" t="s">
        <v>48</v>
      </c>
      <c r="I28" s="5">
        <v>6</v>
      </c>
      <c r="J28" s="5">
        <v>4246</v>
      </c>
      <c r="K28" s="5">
        <v>25476</v>
      </c>
      <c r="L28" s="5">
        <v>15604.96</v>
      </c>
      <c r="M28" s="5">
        <v>9871.0400000000009</v>
      </c>
      <c r="N28" s="5" t="s">
        <v>50</v>
      </c>
    </row>
    <row r="29" spans="1:14" x14ac:dyDescent="0.3">
      <c r="A29" s="5">
        <v>1028</v>
      </c>
      <c r="B29" s="6">
        <v>45437</v>
      </c>
      <c r="C29" s="5" t="s">
        <v>14</v>
      </c>
      <c r="D29" s="5" t="s">
        <v>19</v>
      </c>
      <c r="E29" s="5" t="s">
        <v>27</v>
      </c>
      <c r="F29" s="5" t="s">
        <v>30</v>
      </c>
      <c r="G29" s="5" t="s">
        <v>42</v>
      </c>
      <c r="H29" s="5" t="s">
        <v>48</v>
      </c>
      <c r="I29" s="5">
        <v>4</v>
      </c>
      <c r="J29" s="5">
        <v>26961</v>
      </c>
      <c r="K29" s="5">
        <v>107844</v>
      </c>
      <c r="L29" s="5">
        <v>67938.66</v>
      </c>
      <c r="M29" s="5">
        <v>39905.339999999997</v>
      </c>
      <c r="N29" s="5" t="s">
        <v>50</v>
      </c>
    </row>
    <row r="30" spans="1:14" x14ac:dyDescent="0.3">
      <c r="A30" s="5">
        <v>1029</v>
      </c>
      <c r="B30" s="6">
        <v>45372</v>
      </c>
      <c r="C30" s="5" t="s">
        <v>14</v>
      </c>
      <c r="D30" s="5" t="s">
        <v>20</v>
      </c>
      <c r="E30" s="5" t="s">
        <v>26</v>
      </c>
      <c r="F30" s="5" t="s">
        <v>31</v>
      </c>
      <c r="G30" s="5" t="s">
        <v>37</v>
      </c>
      <c r="H30" s="5" t="s">
        <v>47</v>
      </c>
      <c r="I30" s="5">
        <v>5</v>
      </c>
      <c r="J30" s="5">
        <v>13886</v>
      </c>
      <c r="K30" s="5">
        <v>69430</v>
      </c>
      <c r="L30" s="5">
        <v>53282.77</v>
      </c>
      <c r="M30" s="5">
        <v>16147.23</v>
      </c>
      <c r="N30" s="5" t="s">
        <v>51</v>
      </c>
    </row>
    <row r="31" spans="1:14" x14ac:dyDescent="0.3">
      <c r="A31" s="5">
        <v>1030</v>
      </c>
      <c r="B31" s="6">
        <v>45436</v>
      </c>
      <c r="C31" s="5" t="s">
        <v>15</v>
      </c>
      <c r="D31" s="5" t="s">
        <v>22</v>
      </c>
      <c r="E31" s="5" t="s">
        <v>27</v>
      </c>
      <c r="F31" s="5" t="s">
        <v>31</v>
      </c>
      <c r="G31" s="5" t="s">
        <v>37</v>
      </c>
      <c r="H31" s="5" t="s">
        <v>47</v>
      </c>
      <c r="I31" s="5">
        <v>2</v>
      </c>
      <c r="J31" s="5">
        <v>1110</v>
      </c>
      <c r="K31" s="5">
        <v>2220</v>
      </c>
      <c r="L31" s="5">
        <v>1586.35</v>
      </c>
      <c r="M31" s="5">
        <v>633.65</v>
      </c>
      <c r="N31" s="5" t="s">
        <v>51</v>
      </c>
    </row>
    <row r="32" spans="1:14" x14ac:dyDescent="0.3">
      <c r="A32" s="5">
        <v>1031</v>
      </c>
      <c r="B32" s="6">
        <v>45364</v>
      </c>
      <c r="C32" s="5" t="s">
        <v>14</v>
      </c>
      <c r="D32" s="5" t="s">
        <v>23</v>
      </c>
      <c r="E32" s="5" t="s">
        <v>27</v>
      </c>
      <c r="F32" s="5" t="s">
        <v>30</v>
      </c>
      <c r="G32" s="5" t="s">
        <v>40</v>
      </c>
      <c r="H32" s="5" t="s">
        <v>44</v>
      </c>
      <c r="I32" s="5">
        <v>2</v>
      </c>
      <c r="J32" s="5">
        <v>58123</v>
      </c>
      <c r="K32" s="5">
        <v>116246</v>
      </c>
      <c r="L32" s="5">
        <v>76846.87</v>
      </c>
      <c r="M32" s="5">
        <v>39399.129999999997</v>
      </c>
      <c r="N32" s="5" t="s">
        <v>51</v>
      </c>
    </row>
    <row r="33" spans="1:14" x14ac:dyDescent="0.3">
      <c r="A33" s="5">
        <v>1032</v>
      </c>
      <c r="B33" s="6">
        <v>45318</v>
      </c>
      <c r="C33" s="5" t="s">
        <v>14</v>
      </c>
      <c r="D33" s="5" t="s">
        <v>20</v>
      </c>
      <c r="E33" s="5" t="s">
        <v>24</v>
      </c>
      <c r="F33" s="5" t="s">
        <v>29</v>
      </c>
      <c r="G33" s="5" t="s">
        <v>32</v>
      </c>
      <c r="H33" s="5" t="s">
        <v>48</v>
      </c>
      <c r="I33" s="5">
        <v>9</v>
      </c>
      <c r="J33" s="5">
        <v>20120</v>
      </c>
      <c r="K33" s="5">
        <v>181080</v>
      </c>
      <c r="L33" s="5">
        <v>150828.6</v>
      </c>
      <c r="M33" s="5">
        <v>30251.4</v>
      </c>
      <c r="N33" s="5" t="s">
        <v>50</v>
      </c>
    </row>
    <row r="34" spans="1:14" x14ac:dyDescent="0.3">
      <c r="A34" s="5">
        <v>1033</v>
      </c>
      <c r="B34" s="6">
        <v>45344</v>
      </c>
      <c r="C34" s="5" t="s">
        <v>16</v>
      </c>
      <c r="D34" s="5" t="s">
        <v>19</v>
      </c>
      <c r="E34" s="5" t="s">
        <v>26</v>
      </c>
      <c r="F34" s="5" t="s">
        <v>31</v>
      </c>
      <c r="G34" s="5" t="s">
        <v>37</v>
      </c>
      <c r="H34" s="5" t="s">
        <v>45</v>
      </c>
      <c r="I34" s="5">
        <v>10</v>
      </c>
      <c r="J34" s="5">
        <v>14303</v>
      </c>
      <c r="K34" s="5">
        <v>143030</v>
      </c>
      <c r="L34" s="5">
        <v>111478.02</v>
      </c>
      <c r="M34" s="5">
        <v>31551.98</v>
      </c>
      <c r="N34" s="5" t="s">
        <v>50</v>
      </c>
    </row>
    <row r="35" spans="1:14" x14ac:dyDescent="0.3">
      <c r="A35" s="5">
        <v>1034</v>
      </c>
      <c r="B35" s="6">
        <v>45325</v>
      </c>
      <c r="C35" s="5" t="s">
        <v>16</v>
      </c>
      <c r="D35" s="5" t="s">
        <v>21</v>
      </c>
      <c r="E35" s="5" t="s">
        <v>28</v>
      </c>
      <c r="F35" s="5" t="s">
        <v>30</v>
      </c>
      <c r="G35" s="5" t="s">
        <v>34</v>
      </c>
      <c r="H35" s="5" t="s">
        <v>46</v>
      </c>
      <c r="I35" s="5">
        <v>5</v>
      </c>
      <c r="J35" s="5">
        <v>3389</v>
      </c>
      <c r="K35" s="5">
        <v>16945</v>
      </c>
      <c r="L35" s="5">
        <v>10182.02</v>
      </c>
      <c r="M35" s="5">
        <v>6762.98</v>
      </c>
      <c r="N35" s="5" t="s">
        <v>51</v>
      </c>
    </row>
    <row r="36" spans="1:14" x14ac:dyDescent="0.3">
      <c r="A36" s="5">
        <v>1035</v>
      </c>
      <c r="B36" s="6">
        <v>45468</v>
      </c>
      <c r="C36" s="5" t="s">
        <v>14</v>
      </c>
      <c r="D36" s="5" t="s">
        <v>19</v>
      </c>
      <c r="E36" s="5" t="s">
        <v>24</v>
      </c>
      <c r="F36" s="5" t="s">
        <v>29</v>
      </c>
      <c r="G36" s="5" t="s">
        <v>32</v>
      </c>
      <c r="H36" s="5" t="s">
        <v>45</v>
      </c>
      <c r="I36" s="5">
        <v>2</v>
      </c>
      <c r="J36" s="5">
        <v>5431</v>
      </c>
      <c r="K36" s="5">
        <v>10862</v>
      </c>
      <c r="L36" s="5">
        <v>9083.49</v>
      </c>
      <c r="M36" s="5">
        <v>1778.51</v>
      </c>
      <c r="N36" s="5" t="s">
        <v>50</v>
      </c>
    </row>
    <row r="37" spans="1:14" x14ac:dyDescent="0.3">
      <c r="A37" s="5">
        <v>1036</v>
      </c>
      <c r="B37" s="6">
        <v>45302</v>
      </c>
      <c r="C37" s="5" t="s">
        <v>16</v>
      </c>
      <c r="D37" s="5" t="s">
        <v>21</v>
      </c>
      <c r="E37" s="5" t="s">
        <v>28</v>
      </c>
      <c r="F37" s="5" t="s">
        <v>31</v>
      </c>
      <c r="G37" s="5" t="s">
        <v>43</v>
      </c>
      <c r="H37" s="5" t="s">
        <v>47</v>
      </c>
      <c r="I37" s="5">
        <v>1</v>
      </c>
      <c r="J37" s="5">
        <v>20702</v>
      </c>
      <c r="K37" s="5">
        <v>20702</v>
      </c>
      <c r="L37" s="5">
        <v>14308.45</v>
      </c>
      <c r="M37" s="5">
        <v>6393.55</v>
      </c>
      <c r="N37" s="5" t="s">
        <v>50</v>
      </c>
    </row>
    <row r="38" spans="1:14" x14ac:dyDescent="0.3">
      <c r="A38" s="5">
        <v>1037</v>
      </c>
      <c r="B38" s="6">
        <v>45352</v>
      </c>
      <c r="C38" s="5" t="s">
        <v>14</v>
      </c>
      <c r="D38" s="5" t="s">
        <v>21</v>
      </c>
      <c r="E38" s="5" t="s">
        <v>26</v>
      </c>
      <c r="F38" s="5" t="s">
        <v>31</v>
      </c>
      <c r="G38" s="5" t="s">
        <v>41</v>
      </c>
      <c r="H38" s="5" t="s">
        <v>48</v>
      </c>
      <c r="I38" s="5">
        <v>10</v>
      </c>
      <c r="J38" s="5">
        <v>49617</v>
      </c>
      <c r="K38" s="5">
        <v>496170</v>
      </c>
      <c r="L38" s="5">
        <v>316873.18</v>
      </c>
      <c r="M38" s="5">
        <v>179296.82</v>
      </c>
      <c r="N38" s="5" t="s">
        <v>50</v>
      </c>
    </row>
    <row r="39" spans="1:14" x14ac:dyDescent="0.3">
      <c r="A39" s="5">
        <v>1038</v>
      </c>
      <c r="B39" s="6">
        <v>45355</v>
      </c>
      <c r="C39" s="5" t="s">
        <v>16</v>
      </c>
      <c r="D39" s="5" t="s">
        <v>21</v>
      </c>
      <c r="E39" s="5" t="s">
        <v>28</v>
      </c>
      <c r="F39" s="5" t="s">
        <v>29</v>
      </c>
      <c r="G39" s="5" t="s">
        <v>38</v>
      </c>
      <c r="H39" s="5" t="s">
        <v>48</v>
      </c>
      <c r="I39" s="5">
        <v>7</v>
      </c>
      <c r="J39" s="5">
        <v>53075</v>
      </c>
      <c r="K39" s="5">
        <v>371525</v>
      </c>
      <c r="L39" s="5">
        <v>285136.81</v>
      </c>
      <c r="M39" s="5">
        <v>86388.19</v>
      </c>
      <c r="N39" s="5" t="s">
        <v>51</v>
      </c>
    </row>
    <row r="40" spans="1:14" x14ac:dyDescent="0.3">
      <c r="A40" s="5">
        <v>1039</v>
      </c>
      <c r="B40" s="6">
        <v>45409</v>
      </c>
      <c r="C40" s="5" t="s">
        <v>16</v>
      </c>
      <c r="D40" s="5" t="s">
        <v>20</v>
      </c>
      <c r="E40" s="5" t="s">
        <v>25</v>
      </c>
      <c r="F40" s="5" t="s">
        <v>30</v>
      </c>
      <c r="G40" s="5" t="s">
        <v>34</v>
      </c>
      <c r="H40" s="5" t="s">
        <v>47</v>
      </c>
      <c r="I40" s="5">
        <v>4</v>
      </c>
      <c r="J40" s="5">
        <v>13579</v>
      </c>
      <c r="K40" s="5">
        <v>54316</v>
      </c>
      <c r="L40" s="5">
        <v>43678.03</v>
      </c>
      <c r="M40" s="5">
        <v>10637.97</v>
      </c>
      <c r="N40" s="5" t="s">
        <v>50</v>
      </c>
    </row>
    <row r="41" spans="1:14" x14ac:dyDescent="0.3">
      <c r="A41" s="5">
        <v>1040</v>
      </c>
      <c r="B41" s="6">
        <v>45309</v>
      </c>
      <c r="C41" s="5" t="s">
        <v>16</v>
      </c>
      <c r="D41" s="5" t="s">
        <v>20</v>
      </c>
      <c r="E41" s="5" t="s">
        <v>28</v>
      </c>
      <c r="F41" s="5" t="s">
        <v>29</v>
      </c>
      <c r="G41" s="5" t="s">
        <v>36</v>
      </c>
      <c r="H41" s="5" t="s">
        <v>49</v>
      </c>
      <c r="I41" s="5">
        <v>7</v>
      </c>
      <c r="J41" s="5">
        <v>22012</v>
      </c>
      <c r="K41" s="5">
        <v>154084</v>
      </c>
      <c r="L41" s="5">
        <v>103182.47</v>
      </c>
      <c r="M41" s="5">
        <v>50901.53</v>
      </c>
      <c r="N41" s="5" t="s">
        <v>51</v>
      </c>
    </row>
    <row r="42" spans="1:14" x14ac:dyDescent="0.3">
      <c r="A42" s="5">
        <v>1041</v>
      </c>
      <c r="B42" s="6">
        <v>45358</v>
      </c>
      <c r="C42" s="5" t="s">
        <v>14</v>
      </c>
      <c r="D42" s="5" t="s">
        <v>19</v>
      </c>
      <c r="E42" s="5" t="s">
        <v>20</v>
      </c>
      <c r="F42" s="5" t="s">
        <v>29</v>
      </c>
      <c r="G42" s="5" t="s">
        <v>38</v>
      </c>
      <c r="H42" s="5" t="s">
        <v>48</v>
      </c>
      <c r="I42" s="5">
        <v>1</v>
      </c>
      <c r="J42" s="5">
        <v>8059</v>
      </c>
      <c r="K42" s="5">
        <v>8059</v>
      </c>
      <c r="L42" s="5">
        <v>6602.41</v>
      </c>
      <c r="M42" s="5">
        <v>1456.59</v>
      </c>
      <c r="N42" s="5" t="s">
        <v>50</v>
      </c>
    </row>
    <row r="43" spans="1:14" x14ac:dyDescent="0.3">
      <c r="A43" s="5">
        <v>1042</v>
      </c>
      <c r="B43" s="6">
        <v>45403</v>
      </c>
      <c r="C43" s="5" t="s">
        <v>15</v>
      </c>
      <c r="D43" s="5" t="s">
        <v>23</v>
      </c>
      <c r="E43" s="5" t="s">
        <v>27</v>
      </c>
      <c r="F43" s="5" t="s">
        <v>29</v>
      </c>
      <c r="G43" s="5" t="s">
        <v>33</v>
      </c>
      <c r="H43" s="5" t="s">
        <v>47</v>
      </c>
      <c r="I43" s="5">
        <v>6</v>
      </c>
      <c r="J43" s="5">
        <v>48245</v>
      </c>
      <c r="K43" s="5">
        <v>289470</v>
      </c>
      <c r="L43" s="5">
        <v>230593.84</v>
      </c>
      <c r="M43" s="5">
        <v>58876.160000000003</v>
      </c>
      <c r="N43" s="5" t="s">
        <v>51</v>
      </c>
    </row>
    <row r="44" spans="1:14" x14ac:dyDescent="0.3">
      <c r="A44" s="5">
        <v>1043</v>
      </c>
      <c r="B44" s="6">
        <v>45429</v>
      </c>
      <c r="C44" s="5" t="s">
        <v>14</v>
      </c>
      <c r="D44" s="5" t="s">
        <v>20</v>
      </c>
      <c r="E44" s="5" t="s">
        <v>26</v>
      </c>
      <c r="F44" s="5" t="s">
        <v>30</v>
      </c>
      <c r="G44" s="5" t="s">
        <v>34</v>
      </c>
      <c r="H44" s="5" t="s">
        <v>48</v>
      </c>
      <c r="I44" s="5">
        <v>1</v>
      </c>
      <c r="J44" s="5">
        <v>34573</v>
      </c>
      <c r="K44" s="5">
        <v>34573</v>
      </c>
      <c r="L44" s="5">
        <v>28743.78</v>
      </c>
      <c r="M44" s="5">
        <v>5829.22</v>
      </c>
      <c r="N44" s="5" t="s">
        <v>51</v>
      </c>
    </row>
    <row r="45" spans="1:14" x14ac:dyDescent="0.3">
      <c r="A45" s="5">
        <v>1044</v>
      </c>
      <c r="B45" s="6">
        <v>45421</v>
      </c>
      <c r="C45" s="5" t="s">
        <v>16</v>
      </c>
      <c r="D45" s="5" t="s">
        <v>18</v>
      </c>
      <c r="E45" s="5" t="s">
        <v>26</v>
      </c>
      <c r="F45" s="5" t="s">
        <v>29</v>
      </c>
      <c r="G45" s="5" t="s">
        <v>38</v>
      </c>
      <c r="H45" s="5" t="s">
        <v>45</v>
      </c>
      <c r="I45" s="5">
        <v>2</v>
      </c>
      <c r="J45" s="5">
        <v>47669</v>
      </c>
      <c r="K45" s="5">
        <v>95338</v>
      </c>
      <c r="L45" s="5">
        <v>78654.97</v>
      </c>
      <c r="M45" s="5">
        <v>16683.03</v>
      </c>
      <c r="N45" s="5" t="s">
        <v>51</v>
      </c>
    </row>
    <row r="46" spans="1:14" x14ac:dyDescent="0.3">
      <c r="A46" s="5">
        <v>1045</v>
      </c>
      <c r="B46" s="6">
        <v>45462</v>
      </c>
      <c r="C46" s="5" t="s">
        <v>17</v>
      </c>
      <c r="D46" s="5" t="s">
        <v>18</v>
      </c>
      <c r="E46" s="5" t="s">
        <v>28</v>
      </c>
      <c r="F46" s="5" t="s">
        <v>29</v>
      </c>
      <c r="G46" s="5" t="s">
        <v>38</v>
      </c>
      <c r="H46" s="5" t="s">
        <v>47</v>
      </c>
      <c r="I46" s="5">
        <v>9</v>
      </c>
      <c r="J46" s="5">
        <v>8841</v>
      </c>
      <c r="K46" s="5">
        <v>79569</v>
      </c>
      <c r="L46" s="5">
        <v>51557.53</v>
      </c>
      <c r="M46" s="5">
        <v>28011.47</v>
      </c>
      <c r="N46" s="5" t="s">
        <v>51</v>
      </c>
    </row>
    <row r="47" spans="1:14" x14ac:dyDescent="0.3">
      <c r="A47" s="5">
        <v>1046</v>
      </c>
      <c r="B47" s="6">
        <v>45440</v>
      </c>
      <c r="C47" s="5" t="s">
        <v>16</v>
      </c>
      <c r="D47" s="5" t="s">
        <v>23</v>
      </c>
      <c r="E47" s="5" t="s">
        <v>26</v>
      </c>
      <c r="F47" s="5" t="s">
        <v>31</v>
      </c>
      <c r="G47" s="5" t="s">
        <v>39</v>
      </c>
      <c r="H47" s="5" t="s">
        <v>46</v>
      </c>
      <c r="I47" s="5">
        <v>5</v>
      </c>
      <c r="J47" s="5">
        <v>19303</v>
      </c>
      <c r="K47" s="5">
        <v>96515</v>
      </c>
      <c r="L47" s="5">
        <v>62980.45</v>
      </c>
      <c r="M47" s="5">
        <v>33534.550000000003</v>
      </c>
      <c r="N47" s="5" t="s">
        <v>50</v>
      </c>
    </row>
    <row r="48" spans="1:14" x14ac:dyDescent="0.3">
      <c r="A48" s="5">
        <v>1047</v>
      </c>
      <c r="B48" s="6">
        <v>45423</v>
      </c>
      <c r="C48" s="5" t="s">
        <v>16</v>
      </c>
      <c r="D48" s="5" t="s">
        <v>22</v>
      </c>
      <c r="E48" s="5" t="s">
        <v>25</v>
      </c>
      <c r="F48" s="5" t="s">
        <v>29</v>
      </c>
      <c r="G48" s="5" t="s">
        <v>33</v>
      </c>
      <c r="H48" s="5" t="s">
        <v>44</v>
      </c>
      <c r="I48" s="5">
        <v>3</v>
      </c>
      <c r="J48" s="5">
        <v>43678</v>
      </c>
      <c r="K48" s="5">
        <v>131034</v>
      </c>
      <c r="L48" s="5">
        <v>81398.17</v>
      </c>
      <c r="M48" s="5">
        <v>49635.83</v>
      </c>
      <c r="N48" s="5" t="s">
        <v>51</v>
      </c>
    </row>
    <row r="49" spans="1:14" x14ac:dyDescent="0.3">
      <c r="A49" s="5">
        <v>1048</v>
      </c>
      <c r="B49" s="6">
        <v>45413</v>
      </c>
      <c r="C49" s="5" t="s">
        <v>15</v>
      </c>
      <c r="D49" s="5" t="s">
        <v>23</v>
      </c>
      <c r="E49" s="5" t="s">
        <v>26</v>
      </c>
      <c r="F49" s="5" t="s">
        <v>30</v>
      </c>
      <c r="G49" s="5" t="s">
        <v>35</v>
      </c>
      <c r="H49" s="5" t="s">
        <v>44</v>
      </c>
      <c r="I49" s="5">
        <v>3</v>
      </c>
      <c r="J49" s="5">
        <v>2100</v>
      </c>
      <c r="K49" s="5">
        <v>6300</v>
      </c>
      <c r="L49" s="5">
        <v>3852.79</v>
      </c>
      <c r="M49" s="5">
        <v>2447.21</v>
      </c>
      <c r="N49" s="5" t="s">
        <v>50</v>
      </c>
    </row>
    <row r="50" spans="1:14" x14ac:dyDescent="0.3">
      <c r="A50" s="5">
        <v>1049</v>
      </c>
      <c r="B50" s="6">
        <v>45459</v>
      </c>
      <c r="C50" s="5" t="s">
        <v>15</v>
      </c>
      <c r="D50" s="5" t="s">
        <v>22</v>
      </c>
      <c r="E50" s="5" t="s">
        <v>26</v>
      </c>
      <c r="F50" s="5" t="s">
        <v>29</v>
      </c>
      <c r="G50" s="5" t="s">
        <v>33</v>
      </c>
      <c r="H50" s="5" t="s">
        <v>47</v>
      </c>
      <c r="I50" s="5">
        <v>8</v>
      </c>
      <c r="J50" s="5">
        <v>26691</v>
      </c>
      <c r="K50" s="5">
        <v>213528</v>
      </c>
      <c r="L50" s="5">
        <v>141141.18</v>
      </c>
      <c r="M50" s="5">
        <v>72386.820000000007</v>
      </c>
      <c r="N50" s="5" t="s">
        <v>50</v>
      </c>
    </row>
    <row r="51" spans="1:14" x14ac:dyDescent="0.3">
      <c r="A51" s="5">
        <v>1050</v>
      </c>
      <c r="B51" s="6">
        <v>45323</v>
      </c>
      <c r="C51" s="5" t="s">
        <v>17</v>
      </c>
      <c r="D51" s="5" t="s">
        <v>21</v>
      </c>
      <c r="E51" s="5" t="s">
        <v>26</v>
      </c>
      <c r="F51" s="5" t="s">
        <v>29</v>
      </c>
      <c r="G51" s="5" t="s">
        <v>33</v>
      </c>
      <c r="H51" s="5" t="s">
        <v>44</v>
      </c>
      <c r="I51" s="5">
        <v>1</v>
      </c>
      <c r="J51" s="5">
        <v>37030</v>
      </c>
      <c r="K51" s="5">
        <v>37030</v>
      </c>
      <c r="L51" s="5">
        <v>24524.95</v>
      </c>
      <c r="M51" s="5">
        <v>12505.05</v>
      </c>
      <c r="N51" s="5" t="s">
        <v>51</v>
      </c>
    </row>
    <row r="52" spans="1:14" x14ac:dyDescent="0.3">
      <c r="A52" s="5">
        <v>1051</v>
      </c>
      <c r="B52" s="6">
        <v>45413</v>
      </c>
      <c r="C52" s="5" t="s">
        <v>17</v>
      </c>
      <c r="D52" s="5" t="s">
        <v>20</v>
      </c>
      <c r="E52" s="5" t="s">
        <v>25</v>
      </c>
      <c r="F52" s="5" t="s">
        <v>31</v>
      </c>
      <c r="G52" s="5" t="s">
        <v>41</v>
      </c>
      <c r="H52" s="5" t="s">
        <v>44</v>
      </c>
      <c r="I52" s="5">
        <v>9</v>
      </c>
      <c r="J52" s="5">
        <v>29723</v>
      </c>
      <c r="K52" s="5">
        <v>267507</v>
      </c>
      <c r="L52" s="5">
        <v>220506.56</v>
      </c>
      <c r="M52" s="5">
        <v>47000.44</v>
      </c>
      <c r="N52" s="5" t="s">
        <v>51</v>
      </c>
    </row>
    <row r="53" spans="1:14" x14ac:dyDescent="0.3">
      <c r="A53" s="5">
        <v>1052</v>
      </c>
      <c r="B53" s="6">
        <v>45365</v>
      </c>
      <c r="C53" s="5" t="s">
        <v>14</v>
      </c>
      <c r="D53" s="5" t="s">
        <v>20</v>
      </c>
      <c r="E53" s="5" t="s">
        <v>20</v>
      </c>
      <c r="F53" s="5" t="s">
        <v>29</v>
      </c>
      <c r="G53" s="5" t="s">
        <v>33</v>
      </c>
      <c r="H53" s="5" t="s">
        <v>45</v>
      </c>
      <c r="I53" s="5">
        <v>4</v>
      </c>
      <c r="J53" s="5">
        <v>18496</v>
      </c>
      <c r="K53" s="5">
        <v>73984</v>
      </c>
      <c r="L53" s="5">
        <v>52526.28</v>
      </c>
      <c r="M53" s="5">
        <v>21457.72</v>
      </c>
      <c r="N53" s="5" t="s">
        <v>50</v>
      </c>
    </row>
    <row r="54" spans="1:14" x14ac:dyDescent="0.3">
      <c r="A54" s="5">
        <v>1053</v>
      </c>
      <c r="B54" s="6">
        <v>45472</v>
      </c>
      <c r="C54" s="5" t="s">
        <v>14</v>
      </c>
      <c r="D54" s="5" t="s">
        <v>22</v>
      </c>
      <c r="E54" s="5" t="s">
        <v>26</v>
      </c>
      <c r="F54" s="5" t="s">
        <v>30</v>
      </c>
      <c r="G54" s="5" t="s">
        <v>35</v>
      </c>
      <c r="H54" s="5" t="s">
        <v>46</v>
      </c>
      <c r="I54" s="5">
        <v>4</v>
      </c>
      <c r="J54" s="5">
        <v>25602</v>
      </c>
      <c r="K54" s="5">
        <v>102408</v>
      </c>
      <c r="L54" s="5">
        <v>79211.3</v>
      </c>
      <c r="M54" s="5">
        <v>23196.7</v>
      </c>
      <c r="N54" s="5" t="s">
        <v>51</v>
      </c>
    </row>
    <row r="55" spans="1:14" x14ac:dyDescent="0.3">
      <c r="A55" s="5">
        <v>1054</v>
      </c>
      <c r="B55" s="6">
        <v>45399</v>
      </c>
      <c r="C55" s="5" t="s">
        <v>17</v>
      </c>
      <c r="D55" s="5" t="s">
        <v>19</v>
      </c>
      <c r="E55" s="5" t="s">
        <v>28</v>
      </c>
      <c r="F55" s="5" t="s">
        <v>29</v>
      </c>
      <c r="G55" s="5" t="s">
        <v>33</v>
      </c>
      <c r="H55" s="5" t="s">
        <v>48</v>
      </c>
      <c r="I55" s="5">
        <v>7</v>
      </c>
      <c r="J55" s="5">
        <v>4580</v>
      </c>
      <c r="K55" s="5">
        <v>32060</v>
      </c>
      <c r="L55" s="5">
        <v>20893.78</v>
      </c>
      <c r="M55" s="5">
        <v>11166.22</v>
      </c>
      <c r="N55" s="5" t="s">
        <v>51</v>
      </c>
    </row>
    <row r="56" spans="1:14" x14ac:dyDescent="0.3">
      <c r="A56" s="5">
        <v>1055</v>
      </c>
      <c r="B56" s="6">
        <v>45399</v>
      </c>
      <c r="C56" s="5" t="s">
        <v>14</v>
      </c>
      <c r="D56" s="5" t="s">
        <v>23</v>
      </c>
      <c r="E56" s="5" t="s">
        <v>25</v>
      </c>
      <c r="F56" s="5" t="s">
        <v>31</v>
      </c>
      <c r="G56" s="5" t="s">
        <v>39</v>
      </c>
      <c r="H56" s="5" t="s">
        <v>45</v>
      </c>
      <c r="I56" s="5">
        <v>6</v>
      </c>
      <c r="J56" s="5">
        <v>20069</v>
      </c>
      <c r="K56" s="5">
        <v>120414</v>
      </c>
      <c r="L56" s="5">
        <v>94930.64</v>
      </c>
      <c r="M56" s="5">
        <v>25483.360000000001</v>
      </c>
      <c r="N56" s="5" t="s">
        <v>51</v>
      </c>
    </row>
    <row r="57" spans="1:14" x14ac:dyDescent="0.3">
      <c r="A57" s="5">
        <v>1056</v>
      </c>
      <c r="B57" s="6">
        <v>45395</v>
      </c>
      <c r="C57" s="5" t="s">
        <v>14</v>
      </c>
      <c r="D57" s="5" t="s">
        <v>23</v>
      </c>
      <c r="E57" s="5" t="s">
        <v>25</v>
      </c>
      <c r="F57" s="5" t="s">
        <v>31</v>
      </c>
      <c r="G57" s="5" t="s">
        <v>39</v>
      </c>
      <c r="H57" s="5" t="s">
        <v>49</v>
      </c>
      <c r="I57" s="5">
        <v>7</v>
      </c>
      <c r="J57" s="5">
        <v>22528</v>
      </c>
      <c r="K57" s="5">
        <v>157696</v>
      </c>
      <c r="L57" s="5">
        <v>120987.27</v>
      </c>
      <c r="M57" s="5">
        <v>36708.730000000003</v>
      </c>
      <c r="N57" s="5" t="s">
        <v>50</v>
      </c>
    </row>
    <row r="58" spans="1:14" x14ac:dyDescent="0.3">
      <c r="A58" s="5">
        <v>1057</v>
      </c>
      <c r="B58" s="6">
        <v>45410</v>
      </c>
      <c r="C58" s="5" t="s">
        <v>14</v>
      </c>
      <c r="D58" s="5" t="s">
        <v>22</v>
      </c>
      <c r="E58" s="5" t="s">
        <v>20</v>
      </c>
      <c r="F58" s="5" t="s">
        <v>31</v>
      </c>
      <c r="G58" s="5" t="s">
        <v>39</v>
      </c>
      <c r="H58" s="5" t="s">
        <v>46</v>
      </c>
      <c r="I58" s="5">
        <v>2</v>
      </c>
      <c r="J58" s="5">
        <v>42623</v>
      </c>
      <c r="K58" s="5">
        <v>85246</v>
      </c>
      <c r="L58" s="5">
        <v>60281.98</v>
      </c>
      <c r="M58" s="5">
        <v>24964.02</v>
      </c>
      <c r="N58" s="5" t="s">
        <v>51</v>
      </c>
    </row>
    <row r="59" spans="1:14" x14ac:dyDescent="0.3">
      <c r="A59" s="5">
        <v>1058</v>
      </c>
      <c r="B59" s="6">
        <v>45389</v>
      </c>
      <c r="C59" s="5" t="s">
        <v>16</v>
      </c>
      <c r="D59" s="5" t="s">
        <v>23</v>
      </c>
      <c r="E59" s="5" t="s">
        <v>20</v>
      </c>
      <c r="F59" s="5" t="s">
        <v>30</v>
      </c>
      <c r="G59" s="5" t="s">
        <v>34</v>
      </c>
      <c r="H59" s="5" t="s">
        <v>48</v>
      </c>
      <c r="I59" s="5">
        <v>6</v>
      </c>
      <c r="J59" s="5">
        <v>22618</v>
      </c>
      <c r="K59" s="5">
        <v>135708</v>
      </c>
      <c r="L59" s="5">
        <v>107251.04</v>
      </c>
      <c r="M59" s="5">
        <v>28456.959999999999</v>
      </c>
      <c r="N59" s="5" t="s">
        <v>51</v>
      </c>
    </row>
    <row r="60" spans="1:14" x14ac:dyDescent="0.3">
      <c r="A60" s="5">
        <v>1059</v>
      </c>
      <c r="B60" s="6">
        <v>45458</v>
      </c>
      <c r="C60" s="5" t="s">
        <v>15</v>
      </c>
      <c r="D60" s="5" t="s">
        <v>22</v>
      </c>
      <c r="E60" s="5" t="s">
        <v>25</v>
      </c>
      <c r="F60" s="5" t="s">
        <v>30</v>
      </c>
      <c r="G60" s="5" t="s">
        <v>42</v>
      </c>
      <c r="H60" s="5" t="s">
        <v>47</v>
      </c>
      <c r="I60" s="5">
        <v>6</v>
      </c>
      <c r="J60" s="5">
        <v>15194</v>
      </c>
      <c r="K60" s="5">
        <v>91164</v>
      </c>
      <c r="L60" s="5">
        <v>69515.83</v>
      </c>
      <c r="M60" s="5">
        <v>21648.17</v>
      </c>
      <c r="N60" s="5" t="s">
        <v>50</v>
      </c>
    </row>
    <row r="61" spans="1:14" x14ac:dyDescent="0.3">
      <c r="A61" s="5">
        <v>1060</v>
      </c>
      <c r="B61" s="6">
        <v>45321</v>
      </c>
      <c r="C61" s="5" t="s">
        <v>14</v>
      </c>
      <c r="D61" s="5" t="s">
        <v>23</v>
      </c>
      <c r="E61" s="5" t="s">
        <v>28</v>
      </c>
      <c r="F61" s="5" t="s">
        <v>29</v>
      </c>
      <c r="G61" s="5" t="s">
        <v>36</v>
      </c>
      <c r="H61" s="5" t="s">
        <v>45</v>
      </c>
      <c r="I61" s="5">
        <v>4</v>
      </c>
      <c r="J61" s="5">
        <v>8772</v>
      </c>
      <c r="K61" s="5">
        <v>35088</v>
      </c>
      <c r="L61" s="5">
        <v>25206.880000000001</v>
      </c>
      <c r="M61" s="5">
        <v>9881.1200000000008</v>
      </c>
      <c r="N61" s="5" t="s">
        <v>51</v>
      </c>
    </row>
    <row r="62" spans="1:14" x14ac:dyDescent="0.3">
      <c r="A62" s="5">
        <v>1061</v>
      </c>
      <c r="B62" s="6">
        <v>45298</v>
      </c>
      <c r="C62" s="5" t="s">
        <v>16</v>
      </c>
      <c r="D62" s="5" t="s">
        <v>19</v>
      </c>
      <c r="E62" s="5" t="s">
        <v>28</v>
      </c>
      <c r="F62" s="5" t="s">
        <v>30</v>
      </c>
      <c r="G62" s="5" t="s">
        <v>42</v>
      </c>
      <c r="H62" s="5" t="s">
        <v>46</v>
      </c>
      <c r="I62" s="5">
        <v>3</v>
      </c>
      <c r="J62" s="5">
        <v>20884</v>
      </c>
      <c r="K62" s="5">
        <v>62652</v>
      </c>
      <c r="L62" s="5">
        <v>39284.35</v>
      </c>
      <c r="M62" s="5">
        <v>23367.65</v>
      </c>
      <c r="N62" s="5" t="s">
        <v>51</v>
      </c>
    </row>
    <row r="63" spans="1:14" x14ac:dyDescent="0.3">
      <c r="A63" s="5">
        <v>1062</v>
      </c>
      <c r="B63" s="6">
        <v>45452</v>
      </c>
      <c r="C63" s="5" t="s">
        <v>14</v>
      </c>
      <c r="D63" s="5" t="s">
        <v>22</v>
      </c>
      <c r="E63" s="5" t="s">
        <v>28</v>
      </c>
      <c r="F63" s="5" t="s">
        <v>29</v>
      </c>
      <c r="G63" s="5" t="s">
        <v>36</v>
      </c>
      <c r="H63" s="5" t="s">
        <v>45</v>
      </c>
      <c r="I63" s="5">
        <v>2</v>
      </c>
      <c r="J63" s="5">
        <v>39303</v>
      </c>
      <c r="K63" s="5">
        <v>78606</v>
      </c>
      <c r="L63" s="5">
        <v>60735.21</v>
      </c>
      <c r="M63" s="5">
        <v>17870.79</v>
      </c>
      <c r="N63" s="5" t="s">
        <v>50</v>
      </c>
    </row>
    <row r="64" spans="1:14" x14ac:dyDescent="0.3">
      <c r="A64" s="5">
        <v>1063</v>
      </c>
      <c r="B64" s="6">
        <v>45386</v>
      </c>
      <c r="C64" s="5" t="s">
        <v>15</v>
      </c>
      <c r="D64" s="5" t="s">
        <v>19</v>
      </c>
      <c r="E64" s="5" t="s">
        <v>28</v>
      </c>
      <c r="F64" s="5" t="s">
        <v>29</v>
      </c>
      <c r="G64" s="5" t="s">
        <v>32</v>
      </c>
      <c r="H64" s="5" t="s">
        <v>45</v>
      </c>
      <c r="I64" s="5">
        <v>6</v>
      </c>
      <c r="J64" s="5">
        <v>35413</v>
      </c>
      <c r="K64" s="5">
        <v>212478</v>
      </c>
      <c r="L64" s="5">
        <v>150242.03</v>
      </c>
      <c r="M64" s="5">
        <v>62235.97</v>
      </c>
      <c r="N64" s="5" t="s">
        <v>50</v>
      </c>
    </row>
    <row r="65" spans="1:14" x14ac:dyDescent="0.3">
      <c r="A65" s="5">
        <v>1064</v>
      </c>
      <c r="B65" s="6">
        <v>45454</v>
      </c>
      <c r="C65" s="5" t="s">
        <v>17</v>
      </c>
      <c r="D65" s="5" t="s">
        <v>18</v>
      </c>
      <c r="E65" s="5" t="s">
        <v>25</v>
      </c>
      <c r="F65" s="5" t="s">
        <v>31</v>
      </c>
      <c r="G65" s="5" t="s">
        <v>41</v>
      </c>
      <c r="H65" s="5" t="s">
        <v>46</v>
      </c>
      <c r="I65" s="5">
        <v>2</v>
      </c>
      <c r="J65" s="5">
        <v>28911</v>
      </c>
      <c r="K65" s="5">
        <v>57822</v>
      </c>
      <c r="L65" s="5">
        <v>48581.86</v>
      </c>
      <c r="M65" s="5">
        <v>9240.14</v>
      </c>
      <c r="N65" s="5" t="s">
        <v>50</v>
      </c>
    </row>
    <row r="66" spans="1:14" x14ac:dyDescent="0.3">
      <c r="A66" s="5">
        <v>1065</v>
      </c>
      <c r="B66" s="6">
        <v>45415</v>
      </c>
      <c r="C66" s="5" t="s">
        <v>17</v>
      </c>
      <c r="D66" s="5" t="s">
        <v>23</v>
      </c>
      <c r="E66" s="5" t="s">
        <v>28</v>
      </c>
      <c r="F66" s="5" t="s">
        <v>29</v>
      </c>
      <c r="G66" s="5" t="s">
        <v>38</v>
      </c>
      <c r="H66" s="5" t="s">
        <v>49</v>
      </c>
      <c r="I66" s="5">
        <v>10</v>
      </c>
      <c r="J66" s="5">
        <v>53466</v>
      </c>
      <c r="K66" s="5">
        <v>534660</v>
      </c>
      <c r="L66" s="5">
        <v>443716.69</v>
      </c>
      <c r="M66" s="5">
        <v>90943.31</v>
      </c>
      <c r="N66" s="5" t="s">
        <v>51</v>
      </c>
    </row>
    <row r="67" spans="1:14" x14ac:dyDescent="0.3">
      <c r="A67" s="5">
        <v>1066</v>
      </c>
      <c r="B67" s="6">
        <v>45354</v>
      </c>
      <c r="C67" s="5" t="s">
        <v>17</v>
      </c>
      <c r="D67" s="5" t="s">
        <v>19</v>
      </c>
      <c r="E67" s="5" t="s">
        <v>27</v>
      </c>
      <c r="F67" s="5" t="s">
        <v>31</v>
      </c>
      <c r="G67" s="5" t="s">
        <v>43</v>
      </c>
      <c r="H67" s="5" t="s">
        <v>44</v>
      </c>
      <c r="I67" s="5">
        <v>2</v>
      </c>
      <c r="J67" s="5">
        <v>18779</v>
      </c>
      <c r="K67" s="5">
        <v>37558</v>
      </c>
      <c r="L67" s="5">
        <v>30812.880000000001</v>
      </c>
      <c r="M67" s="5">
        <v>6745.12</v>
      </c>
      <c r="N67" s="5" t="s">
        <v>51</v>
      </c>
    </row>
    <row r="68" spans="1:14" x14ac:dyDescent="0.3">
      <c r="A68" s="5">
        <v>1067</v>
      </c>
      <c r="B68" s="6">
        <v>45416</v>
      </c>
      <c r="C68" s="5" t="s">
        <v>14</v>
      </c>
      <c r="D68" s="5" t="s">
        <v>20</v>
      </c>
      <c r="E68" s="5" t="s">
        <v>20</v>
      </c>
      <c r="F68" s="5" t="s">
        <v>31</v>
      </c>
      <c r="G68" s="5" t="s">
        <v>39</v>
      </c>
      <c r="H68" s="5" t="s">
        <v>45</v>
      </c>
      <c r="I68" s="5">
        <v>8</v>
      </c>
      <c r="J68" s="5">
        <v>56268</v>
      </c>
      <c r="K68" s="5">
        <v>450144</v>
      </c>
      <c r="L68" s="5">
        <v>306662.19</v>
      </c>
      <c r="M68" s="5">
        <v>143481.81</v>
      </c>
      <c r="N68" s="5" t="s">
        <v>51</v>
      </c>
    </row>
    <row r="69" spans="1:14" x14ac:dyDescent="0.3">
      <c r="A69" s="5">
        <v>1068</v>
      </c>
      <c r="B69" s="6">
        <v>45340</v>
      </c>
      <c r="C69" s="5" t="s">
        <v>15</v>
      </c>
      <c r="D69" s="5" t="s">
        <v>21</v>
      </c>
      <c r="E69" s="5" t="s">
        <v>28</v>
      </c>
      <c r="F69" s="5" t="s">
        <v>29</v>
      </c>
      <c r="G69" s="5" t="s">
        <v>38</v>
      </c>
      <c r="H69" s="5" t="s">
        <v>46</v>
      </c>
      <c r="I69" s="5">
        <v>9</v>
      </c>
      <c r="J69" s="5">
        <v>1165</v>
      </c>
      <c r="K69" s="5">
        <v>10485</v>
      </c>
      <c r="L69" s="5">
        <v>7645.21</v>
      </c>
      <c r="M69" s="5">
        <v>2839.79</v>
      </c>
      <c r="N69" s="5" t="s">
        <v>51</v>
      </c>
    </row>
    <row r="70" spans="1:14" x14ac:dyDescent="0.3">
      <c r="A70" s="5">
        <v>1069</v>
      </c>
      <c r="B70" s="6">
        <v>45406</v>
      </c>
      <c r="C70" s="5" t="s">
        <v>15</v>
      </c>
      <c r="D70" s="5" t="s">
        <v>22</v>
      </c>
      <c r="E70" s="5" t="s">
        <v>20</v>
      </c>
      <c r="F70" s="5" t="s">
        <v>29</v>
      </c>
      <c r="G70" s="5" t="s">
        <v>36</v>
      </c>
      <c r="H70" s="5" t="s">
        <v>47</v>
      </c>
      <c r="I70" s="5">
        <v>8</v>
      </c>
      <c r="J70" s="5">
        <v>42829</v>
      </c>
      <c r="K70" s="5">
        <v>342632</v>
      </c>
      <c r="L70" s="5">
        <v>266554.2</v>
      </c>
      <c r="M70" s="5">
        <v>76077.8</v>
      </c>
      <c r="N70" s="5" t="s">
        <v>51</v>
      </c>
    </row>
    <row r="71" spans="1:14" x14ac:dyDescent="0.3">
      <c r="A71" s="5">
        <v>1070</v>
      </c>
      <c r="B71" s="6">
        <v>45413</v>
      </c>
      <c r="C71" s="5" t="s">
        <v>16</v>
      </c>
      <c r="D71" s="5" t="s">
        <v>23</v>
      </c>
      <c r="E71" s="5" t="s">
        <v>28</v>
      </c>
      <c r="F71" s="5" t="s">
        <v>29</v>
      </c>
      <c r="G71" s="5" t="s">
        <v>36</v>
      </c>
      <c r="H71" s="5" t="s">
        <v>49</v>
      </c>
      <c r="I71" s="5">
        <v>5</v>
      </c>
      <c r="J71" s="5">
        <v>44013</v>
      </c>
      <c r="K71" s="5">
        <v>220065</v>
      </c>
      <c r="L71" s="5">
        <v>164034.01</v>
      </c>
      <c r="M71" s="5">
        <v>56030.99</v>
      </c>
      <c r="N71" s="5" t="s">
        <v>51</v>
      </c>
    </row>
    <row r="72" spans="1:14" x14ac:dyDescent="0.3">
      <c r="A72" s="5">
        <v>1071</v>
      </c>
      <c r="B72" s="6">
        <v>45322</v>
      </c>
      <c r="C72" s="5" t="s">
        <v>14</v>
      </c>
      <c r="D72" s="5" t="s">
        <v>20</v>
      </c>
      <c r="E72" s="5" t="s">
        <v>24</v>
      </c>
      <c r="F72" s="5" t="s">
        <v>31</v>
      </c>
      <c r="G72" s="5" t="s">
        <v>41</v>
      </c>
      <c r="H72" s="5" t="s">
        <v>44</v>
      </c>
      <c r="I72" s="5">
        <v>5</v>
      </c>
      <c r="J72" s="5">
        <v>20594</v>
      </c>
      <c r="K72" s="5">
        <v>102970</v>
      </c>
      <c r="L72" s="5">
        <v>68253.759999999995</v>
      </c>
      <c r="M72" s="5">
        <v>34716.239999999998</v>
      </c>
      <c r="N72" s="5" t="s">
        <v>50</v>
      </c>
    </row>
    <row r="73" spans="1:14" x14ac:dyDescent="0.3">
      <c r="A73" s="5">
        <v>1072</v>
      </c>
      <c r="B73" s="6">
        <v>45426</v>
      </c>
      <c r="C73" s="5" t="s">
        <v>16</v>
      </c>
      <c r="D73" s="5" t="s">
        <v>22</v>
      </c>
      <c r="E73" s="5" t="s">
        <v>25</v>
      </c>
      <c r="F73" s="5" t="s">
        <v>30</v>
      </c>
      <c r="G73" s="5" t="s">
        <v>35</v>
      </c>
      <c r="H73" s="5" t="s">
        <v>45</v>
      </c>
      <c r="I73" s="5">
        <v>8</v>
      </c>
      <c r="J73" s="5">
        <v>18620</v>
      </c>
      <c r="K73" s="5">
        <v>148960</v>
      </c>
      <c r="L73" s="5">
        <v>116359.55</v>
      </c>
      <c r="M73" s="5">
        <v>32600.45</v>
      </c>
      <c r="N73" s="5" t="s">
        <v>50</v>
      </c>
    </row>
    <row r="74" spans="1:14" x14ac:dyDescent="0.3">
      <c r="A74" s="5">
        <v>1073</v>
      </c>
      <c r="B74" s="6">
        <v>45324</v>
      </c>
      <c r="C74" s="5" t="s">
        <v>16</v>
      </c>
      <c r="D74" s="5" t="s">
        <v>22</v>
      </c>
      <c r="E74" s="5" t="s">
        <v>24</v>
      </c>
      <c r="F74" s="5" t="s">
        <v>31</v>
      </c>
      <c r="G74" s="5" t="s">
        <v>43</v>
      </c>
      <c r="H74" s="5" t="s">
        <v>49</v>
      </c>
      <c r="I74" s="5">
        <v>5</v>
      </c>
      <c r="J74" s="5">
        <v>1427</v>
      </c>
      <c r="K74" s="5">
        <v>7135</v>
      </c>
      <c r="L74" s="5">
        <v>5543.93</v>
      </c>
      <c r="M74" s="5">
        <v>1591.07</v>
      </c>
      <c r="N74" s="5" t="s">
        <v>51</v>
      </c>
    </row>
    <row r="75" spans="1:14" x14ac:dyDescent="0.3">
      <c r="A75" s="5">
        <v>1074</v>
      </c>
      <c r="B75" s="6">
        <v>45438</v>
      </c>
      <c r="C75" s="5" t="s">
        <v>16</v>
      </c>
      <c r="D75" s="5" t="s">
        <v>23</v>
      </c>
      <c r="E75" s="5" t="s">
        <v>26</v>
      </c>
      <c r="F75" s="5" t="s">
        <v>29</v>
      </c>
      <c r="G75" s="5" t="s">
        <v>36</v>
      </c>
      <c r="H75" s="5" t="s">
        <v>46</v>
      </c>
      <c r="I75" s="5">
        <v>8</v>
      </c>
      <c r="J75" s="5">
        <v>7223</v>
      </c>
      <c r="K75" s="5">
        <v>57784</v>
      </c>
      <c r="L75" s="5">
        <v>47277.71</v>
      </c>
      <c r="M75" s="5">
        <v>10506.29</v>
      </c>
      <c r="N75" s="5" t="s">
        <v>51</v>
      </c>
    </row>
    <row r="76" spans="1:14" x14ac:dyDescent="0.3">
      <c r="A76" s="5">
        <v>1075</v>
      </c>
      <c r="B76" s="6">
        <v>45308</v>
      </c>
      <c r="C76" s="5" t="s">
        <v>17</v>
      </c>
      <c r="D76" s="5" t="s">
        <v>23</v>
      </c>
      <c r="E76" s="5" t="s">
        <v>24</v>
      </c>
      <c r="F76" s="5" t="s">
        <v>30</v>
      </c>
      <c r="G76" s="5" t="s">
        <v>42</v>
      </c>
      <c r="H76" s="5" t="s">
        <v>49</v>
      </c>
      <c r="I76" s="5">
        <v>5</v>
      </c>
      <c r="J76" s="5">
        <v>56973</v>
      </c>
      <c r="K76" s="5">
        <v>284865</v>
      </c>
      <c r="L76" s="5">
        <v>204941.08</v>
      </c>
      <c r="M76" s="5">
        <v>79923.92</v>
      </c>
      <c r="N76" s="5" t="s">
        <v>50</v>
      </c>
    </row>
    <row r="77" spans="1:14" x14ac:dyDescent="0.3">
      <c r="A77" s="5">
        <v>1076</v>
      </c>
      <c r="B77" s="6">
        <v>45355</v>
      </c>
      <c r="C77" s="5" t="s">
        <v>15</v>
      </c>
      <c r="D77" s="5" t="s">
        <v>19</v>
      </c>
      <c r="E77" s="5" t="s">
        <v>26</v>
      </c>
      <c r="F77" s="5" t="s">
        <v>30</v>
      </c>
      <c r="G77" s="5" t="s">
        <v>35</v>
      </c>
      <c r="H77" s="5" t="s">
        <v>49</v>
      </c>
      <c r="I77" s="5">
        <v>10</v>
      </c>
      <c r="J77" s="5">
        <v>20412</v>
      </c>
      <c r="K77" s="5">
        <v>204120</v>
      </c>
      <c r="L77" s="5">
        <v>126818.78</v>
      </c>
      <c r="M77" s="5">
        <v>77301.22</v>
      </c>
      <c r="N77" s="5" t="s">
        <v>50</v>
      </c>
    </row>
    <row r="78" spans="1:14" x14ac:dyDescent="0.3">
      <c r="A78" s="5">
        <v>1077</v>
      </c>
      <c r="B78" s="6">
        <v>45442</v>
      </c>
      <c r="C78" s="5" t="s">
        <v>17</v>
      </c>
      <c r="D78" s="5" t="s">
        <v>20</v>
      </c>
      <c r="E78" s="5" t="s">
        <v>27</v>
      </c>
      <c r="F78" s="5" t="s">
        <v>29</v>
      </c>
      <c r="G78" s="5" t="s">
        <v>33</v>
      </c>
      <c r="H78" s="5" t="s">
        <v>49</v>
      </c>
      <c r="I78" s="5">
        <v>8</v>
      </c>
      <c r="J78" s="5">
        <v>29514</v>
      </c>
      <c r="K78" s="5">
        <v>236112</v>
      </c>
      <c r="L78" s="5">
        <v>159219.35999999999</v>
      </c>
      <c r="M78" s="5">
        <v>76892.639999999999</v>
      </c>
      <c r="N78" s="5" t="s">
        <v>50</v>
      </c>
    </row>
    <row r="79" spans="1:14" x14ac:dyDescent="0.3">
      <c r="A79" s="5">
        <v>1078</v>
      </c>
      <c r="B79" s="6">
        <v>45461</v>
      </c>
      <c r="C79" s="5" t="s">
        <v>15</v>
      </c>
      <c r="D79" s="5" t="s">
        <v>21</v>
      </c>
      <c r="E79" s="5" t="s">
        <v>25</v>
      </c>
      <c r="F79" s="5" t="s">
        <v>29</v>
      </c>
      <c r="G79" s="5" t="s">
        <v>32</v>
      </c>
      <c r="H79" s="5" t="s">
        <v>47</v>
      </c>
      <c r="I79" s="5">
        <v>4</v>
      </c>
      <c r="J79" s="5">
        <v>41493</v>
      </c>
      <c r="K79" s="5">
        <v>165972</v>
      </c>
      <c r="L79" s="5">
        <v>108339.27</v>
      </c>
      <c r="M79" s="5">
        <v>57632.73</v>
      </c>
      <c r="N79" s="5" t="s">
        <v>50</v>
      </c>
    </row>
    <row r="80" spans="1:14" x14ac:dyDescent="0.3">
      <c r="A80" s="5">
        <v>1079</v>
      </c>
      <c r="B80" s="6">
        <v>45412</v>
      </c>
      <c r="C80" s="5" t="s">
        <v>16</v>
      </c>
      <c r="D80" s="5" t="s">
        <v>22</v>
      </c>
      <c r="E80" s="5" t="s">
        <v>25</v>
      </c>
      <c r="F80" s="5" t="s">
        <v>30</v>
      </c>
      <c r="G80" s="5" t="s">
        <v>42</v>
      </c>
      <c r="H80" s="5" t="s">
        <v>45</v>
      </c>
      <c r="I80" s="5">
        <v>7</v>
      </c>
      <c r="J80" s="5">
        <v>30024</v>
      </c>
      <c r="K80" s="5">
        <v>210168</v>
      </c>
      <c r="L80" s="5">
        <v>162321.74</v>
      </c>
      <c r="M80" s="5">
        <v>47846.26</v>
      </c>
      <c r="N80" s="5" t="s">
        <v>51</v>
      </c>
    </row>
    <row r="81" spans="1:14" x14ac:dyDescent="0.3">
      <c r="A81" s="5">
        <v>1080</v>
      </c>
      <c r="B81" s="6">
        <v>45359</v>
      </c>
      <c r="C81" s="5" t="s">
        <v>14</v>
      </c>
      <c r="D81" s="5" t="s">
        <v>23</v>
      </c>
      <c r="E81" s="5" t="s">
        <v>24</v>
      </c>
      <c r="F81" s="5" t="s">
        <v>29</v>
      </c>
      <c r="G81" s="5" t="s">
        <v>33</v>
      </c>
      <c r="H81" s="5" t="s">
        <v>49</v>
      </c>
      <c r="I81" s="5">
        <v>2</v>
      </c>
      <c r="J81" s="5">
        <v>45548</v>
      </c>
      <c r="K81" s="5">
        <v>91096</v>
      </c>
      <c r="L81" s="5">
        <v>59973.59</v>
      </c>
      <c r="M81" s="5">
        <v>31122.41</v>
      </c>
      <c r="N81" s="5" t="s">
        <v>50</v>
      </c>
    </row>
    <row r="82" spans="1:14" x14ac:dyDescent="0.3">
      <c r="A82" s="5">
        <v>1081</v>
      </c>
      <c r="B82" s="6">
        <v>45307</v>
      </c>
      <c r="C82" s="5" t="s">
        <v>14</v>
      </c>
      <c r="D82" s="5" t="s">
        <v>20</v>
      </c>
      <c r="E82" s="5" t="s">
        <v>27</v>
      </c>
      <c r="F82" s="5" t="s">
        <v>29</v>
      </c>
      <c r="G82" s="5" t="s">
        <v>36</v>
      </c>
      <c r="H82" s="5" t="s">
        <v>44</v>
      </c>
      <c r="I82" s="5">
        <v>5</v>
      </c>
      <c r="J82" s="5">
        <v>54674</v>
      </c>
      <c r="K82" s="5">
        <v>273370</v>
      </c>
      <c r="L82" s="5">
        <v>173742.78</v>
      </c>
      <c r="M82" s="5">
        <v>99627.22</v>
      </c>
      <c r="N82" s="5" t="s">
        <v>51</v>
      </c>
    </row>
    <row r="83" spans="1:14" x14ac:dyDescent="0.3">
      <c r="A83" s="5">
        <v>1082</v>
      </c>
      <c r="B83" s="6">
        <v>45395</v>
      </c>
      <c r="C83" s="5" t="s">
        <v>16</v>
      </c>
      <c r="D83" s="5" t="s">
        <v>19</v>
      </c>
      <c r="E83" s="5" t="s">
        <v>27</v>
      </c>
      <c r="F83" s="5" t="s">
        <v>31</v>
      </c>
      <c r="G83" s="5" t="s">
        <v>39</v>
      </c>
      <c r="H83" s="5" t="s">
        <v>46</v>
      </c>
      <c r="I83" s="5">
        <v>8</v>
      </c>
      <c r="J83" s="5">
        <v>45633</v>
      </c>
      <c r="K83" s="5">
        <v>365064</v>
      </c>
      <c r="L83" s="5">
        <v>246791.59</v>
      </c>
      <c r="M83" s="5">
        <v>118272.41</v>
      </c>
      <c r="N83" s="5" t="s">
        <v>51</v>
      </c>
    </row>
    <row r="84" spans="1:14" x14ac:dyDescent="0.3">
      <c r="A84" s="5">
        <v>1083</v>
      </c>
      <c r="B84" s="6">
        <v>45356</v>
      </c>
      <c r="C84" s="5" t="s">
        <v>15</v>
      </c>
      <c r="D84" s="5" t="s">
        <v>22</v>
      </c>
      <c r="E84" s="5" t="s">
        <v>25</v>
      </c>
      <c r="F84" s="5" t="s">
        <v>30</v>
      </c>
      <c r="G84" s="5" t="s">
        <v>42</v>
      </c>
      <c r="H84" s="5" t="s">
        <v>44</v>
      </c>
      <c r="I84" s="5">
        <v>7</v>
      </c>
      <c r="J84" s="5">
        <v>48638</v>
      </c>
      <c r="K84" s="5">
        <v>340466</v>
      </c>
      <c r="L84" s="5">
        <v>231714.49</v>
      </c>
      <c r="M84" s="5">
        <v>108751.51</v>
      </c>
      <c r="N84" s="5" t="s">
        <v>50</v>
      </c>
    </row>
    <row r="85" spans="1:14" x14ac:dyDescent="0.3">
      <c r="A85" s="5">
        <v>1084</v>
      </c>
      <c r="B85" s="6">
        <v>45336</v>
      </c>
      <c r="C85" s="5" t="s">
        <v>17</v>
      </c>
      <c r="D85" s="5" t="s">
        <v>19</v>
      </c>
      <c r="E85" s="5" t="s">
        <v>28</v>
      </c>
      <c r="F85" s="5" t="s">
        <v>29</v>
      </c>
      <c r="G85" s="5" t="s">
        <v>38</v>
      </c>
      <c r="H85" s="5" t="s">
        <v>46</v>
      </c>
      <c r="I85" s="5">
        <v>10</v>
      </c>
      <c r="J85" s="5">
        <v>3136</v>
      </c>
      <c r="K85" s="5">
        <v>31360</v>
      </c>
      <c r="L85" s="5">
        <v>24798.77</v>
      </c>
      <c r="M85" s="5">
        <v>6561.23</v>
      </c>
      <c r="N85" s="5" t="s">
        <v>51</v>
      </c>
    </row>
    <row r="86" spans="1:14" x14ac:dyDescent="0.3">
      <c r="A86" s="5">
        <v>1085</v>
      </c>
      <c r="B86" s="6">
        <v>45396</v>
      </c>
      <c r="C86" s="5" t="s">
        <v>16</v>
      </c>
      <c r="D86" s="5" t="s">
        <v>20</v>
      </c>
      <c r="E86" s="5" t="s">
        <v>28</v>
      </c>
      <c r="F86" s="5" t="s">
        <v>30</v>
      </c>
      <c r="G86" s="5" t="s">
        <v>34</v>
      </c>
      <c r="H86" s="5" t="s">
        <v>48</v>
      </c>
      <c r="I86" s="5">
        <v>8</v>
      </c>
      <c r="J86" s="5">
        <v>6479</v>
      </c>
      <c r="K86" s="5">
        <v>51832</v>
      </c>
      <c r="L86" s="5">
        <v>37189.589999999997</v>
      </c>
      <c r="M86" s="5">
        <v>14642.41</v>
      </c>
      <c r="N86" s="5" t="s">
        <v>50</v>
      </c>
    </row>
    <row r="87" spans="1:14" x14ac:dyDescent="0.3">
      <c r="A87" s="5">
        <v>1086</v>
      </c>
      <c r="B87" s="6">
        <v>45394</v>
      </c>
      <c r="C87" s="5" t="s">
        <v>15</v>
      </c>
      <c r="D87" s="5" t="s">
        <v>23</v>
      </c>
      <c r="E87" s="5" t="s">
        <v>24</v>
      </c>
      <c r="F87" s="5" t="s">
        <v>31</v>
      </c>
      <c r="G87" s="5" t="s">
        <v>41</v>
      </c>
      <c r="H87" s="5" t="s">
        <v>45</v>
      </c>
      <c r="I87" s="5">
        <v>8</v>
      </c>
      <c r="J87" s="5">
        <v>19388</v>
      </c>
      <c r="K87" s="5">
        <v>155104</v>
      </c>
      <c r="L87" s="5">
        <v>118754.74</v>
      </c>
      <c r="M87" s="5">
        <v>36349.26</v>
      </c>
      <c r="N87" s="5" t="s">
        <v>51</v>
      </c>
    </row>
    <row r="88" spans="1:14" x14ac:dyDescent="0.3">
      <c r="A88" s="5">
        <v>1087</v>
      </c>
      <c r="B88" s="6">
        <v>45292</v>
      </c>
      <c r="C88" s="5" t="s">
        <v>17</v>
      </c>
      <c r="D88" s="5" t="s">
        <v>23</v>
      </c>
      <c r="E88" s="5" t="s">
        <v>24</v>
      </c>
      <c r="F88" s="5" t="s">
        <v>31</v>
      </c>
      <c r="G88" s="5" t="s">
        <v>39</v>
      </c>
      <c r="H88" s="5" t="s">
        <v>47</v>
      </c>
      <c r="I88" s="5">
        <v>7</v>
      </c>
      <c r="J88" s="5">
        <v>57182</v>
      </c>
      <c r="K88" s="5">
        <v>400274</v>
      </c>
      <c r="L88" s="5">
        <v>291659.28000000003</v>
      </c>
      <c r="M88" s="5">
        <v>108614.72</v>
      </c>
      <c r="N88" s="5" t="s">
        <v>51</v>
      </c>
    </row>
    <row r="89" spans="1:14" x14ac:dyDescent="0.3">
      <c r="A89" s="5">
        <v>1088</v>
      </c>
      <c r="B89" s="6">
        <v>45360</v>
      </c>
      <c r="C89" s="5" t="s">
        <v>14</v>
      </c>
      <c r="D89" s="5" t="s">
        <v>20</v>
      </c>
      <c r="E89" s="5" t="s">
        <v>26</v>
      </c>
      <c r="F89" s="5" t="s">
        <v>29</v>
      </c>
      <c r="G89" s="5" t="s">
        <v>33</v>
      </c>
      <c r="H89" s="5" t="s">
        <v>44</v>
      </c>
      <c r="I89" s="5">
        <v>8</v>
      </c>
      <c r="J89" s="5">
        <v>50306</v>
      </c>
      <c r="K89" s="5">
        <v>402448</v>
      </c>
      <c r="L89" s="5">
        <v>246661.56</v>
      </c>
      <c r="M89" s="5">
        <v>155786.44</v>
      </c>
      <c r="N89" s="5" t="s">
        <v>51</v>
      </c>
    </row>
    <row r="90" spans="1:14" x14ac:dyDescent="0.3">
      <c r="A90" s="5">
        <v>1089</v>
      </c>
      <c r="B90" s="6">
        <v>45332</v>
      </c>
      <c r="C90" s="5" t="s">
        <v>16</v>
      </c>
      <c r="D90" s="5" t="s">
        <v>19</v>
      </c>
      <c r="E90" s="5" t="s">
        <v>24</v>
      </c>
      <c r="F90" s="5" t="s">
        <v>30</v>
      </c>
      <c r="G90" s="5" t="s">
        <v>42</v>
      </c>
      <c r="H90" s="5" t="s">
        <v>49</v>
      </c>
      <c r="I90" s="5">
        <v>10</v>
      </c>
      <c r="J90" s="5">
        <v>52883</v>
      </c>
      <c r="K90" s="5">
        <v>528830</v>
      </c>
      <c r="L90" s="5">
        <v>348934.92</v>
      </c>
      <c r="M90" s="5">
        <v>179895.08</v>
      </c>
      <c r="N90" s="5" t="s">
        <v>51</v>
      </c>
    </row>
    <row r="91" spans="1:14" x14ac:dyDescent="0.3">
      <c r="A91" s="5">
        <v>1090</v>
      </c>
      <c r="B91" s="6">
        <v>45457</v>
      </c>
      <c r="C91" s="5" t="s">
        <v>14</v>
      </c>
      <c r="D91" s="5" t="s">
        <v>23</v>
      </c>
      <c r="E91" s="5" t="s">
        <v>28</v>
      </c>
      <c r="F91" s="5" t="s">
        <v>30</v>
      </c>
      <c r="G91" s="5" t="s">
        <v>35</v>
      </c>
      <c r="H91" s="5" t="s">
        <v>45</v>
      </c>
      <c r="I91" s="5">
        <v>2</v>
      </c>
      <c r="J91" s="5">
        <v>30741</v>
      </c>
      <c r="K91" s="5">
        <v>61482</v>
      </c>
      <c r="L91" s="5">
        <v>51446</v>
      </c>
      <c r="M91" s="5">
        <v>10036</v>
      </c>
      <c r="N91" s="5" t="s">
        <v>51</v>
      </c>
    </row>
    <row r="92" spans="1:14" x14ac:dyDescent="0.3">
      <c r="A92" s="5">
        <v>1091</v>
      </c>
      <c r="B92" s="6">
        <v>45329</v>
      </c>
      <c r="C92" s="5" t="s">
        <v>17</v>
      </c>
      <c r="D92" s="5" t="s">
        <v>21</v>
      </c>
      <c r="E92" s="5" t="s">
        <v>27</v>
      </c>
      <c r="F92" s="5" t="s">
        <v>31</v>
      </c>
      <c r="G92" s="5" t="s">
        <v>41</v>
      </c>
      <c r="H92" s="5" t="s">
        <v>49</v>
      </c>
      <c r="I92" s="5">
        <v>8</v>
      </c>
      <c r="J92" s="5">
        <v>16473</v>
      </c>
      <c r="K92" s="5">
        <v>131784</v>
      </c>
      <c r="L92" s="5">
        <v>94119.69</v>
      </c>
      <c r="M92" s="5">
        <v>37664.31</v>
      </c>
      <c r="N92" s="5" t="s">
        <v>50</v>
      </c>
    </row>
    <row r="93" spans="1:14" x14ac:dyDescent="0.3">
      <c r="A93" s="5">
        <v>1092</v>
      </c>
      <c r="B93" s="6">
        <v>45421</v>
      </c>
      <c r="C93" s="5" t="s">
        <v>16</v>
      </c>
      <c r="D93" s="5" t="s">
        <v>22</v>
      </c>
      <c r="E93" s="5" t="s">
        <v>20</v>
      </c>
      <c r="F93" s="5" t="s">
        <v>30</v>
      </c>
      <c r="G93" s="5" t="s">
        <v>40</v>
      </c>
      <c r="H93" s="5" t="s">
        <v>44</v>
      </c>
      <c r="I93" s="5">
        <v>7</v>
      </c>
      <c r="J93" s="5">
        <v>22774</v>
      </c>
      <c r="K93" s="5">
        <v>159418</v>
      </c>
      <c r="L93" s="5">
        <v>132884.79999999999</v>
      </c>
      <c r="M93" s="5">
        <v>26533.200000000001</v>
      </c>
      <c r="N93" s="5" t="s">
        <v>51</v>
      </c>
    </row>
    <row r="94" spans="1:14" x14ac:dyDescent="0.3">
      <c r="A94" s="5">
        <v>1093</v>
      </c>
      <c r="B94" s="6">
        <v>45380</v>
      </c>
      <c r="C94" s="5" t="s">
        <v>16</v>
      </c>
      <c r="D94" s="5" t="s">
        <v>19</v>
      </c>
      <c r="E94" s="5" t="s">
        <v>27</v>
      </c>
      <c r="F94" s="5" t="s">
        <v>29</v>
      </c>
      <c r="G94" s="5" t="s">
        <v>33</v>
      </c>
      <c r="H94" s="5" t="s">
        <v>46</v>
      </c>
      <c r="I94" s="5">
        <v>3</v>
      </c>
      <c r="J94" s="5">
        <v>29764</v>
      </c>
      <c r="K94" s="5">
        <v>89292</v>
      </c>
      <c r="L94" s="5">
        <v>65597.929999999993</v>
      </c>
      <c r="M94" s="5">
        <v>23694.07</v>
      </c>
      <c r="N94" s="5" t="s">
        <v>51</v>
      </c>
    </row>
    <row r="95" spans="1:14" x14ac:dyDescent="0.3">
      <c r="A95" s="5">
        <v>1094</v>
      </c>
      <c r="B95" s="6">
        <v>45397</v>
      </c>
      <c r="C95" s="5" t="s">
        <v>15</v>
      </c>
      <c r="D95" s="5" t="s">
        <v>20</v>
      </c>
      <c r="E95" s="5" t="s">
        <v>28</v>
      </c>
      <c r="F95" s="5" t="s">
        <v>31</v>
      </c>
      <c r="G95" s="5" t="s">
        <v>43</v>
      </c>
      <c r="H95" s="5" t="s">
        <v>46</v>
      </c>
      <c r="I95" s="5">
        <v>4</v>
      </c>
      <c r="J95" s="5">
        <v>37973</v>
      </c>
      <c r="K95" s="5">
        <v>151892</v>
      </c>
      <c r="L95" s="5">
        <v>105677.75</v>
      </c>
      <c r="M95" s="5">
        <v>46214.25</v>
      </c>
      <c r="N95" s="5" t="s">
        <v>51</v>
      </c>
    </row>
    <row r="96" spans="1:14" x14ac:dyDescent="0.3">
      <c r="A96" s="5">
        <v>1095</v>
      </c>
      <c r="B96" s="6">
        <v>45443</v>
      </c>
      <c r="C96" s="5" t="s">
        <v>16</v>
      </c>
      <c r="D96" s="5" t="s">
        <v>22</v>
      </c>
      <c r="E96" s="5" t="s">
        <v>26</v>
      </c>
      <c r="F96" s="5" t="s">
        <v>31</v>
      </c>
      <c r="G96" s="5" t="s">
        <v>43</v>
      </c>
      <c r="H96" s="5" t="s">
        <v>48</v>
      </c>
      <c r="I96" s="5">
        <v>8</v>
      </c>
      <c r="J96" s="5">
        <v>2926</v>
      </c>
      <c r="K96" s="5">
        <v>23408</v>
      </c>
      <c r="L96" s="5">
        <v>14783.59</v>
      </c>
      <c r="M96" s="5">
        <v>8624.41</v>
      </c>
      <c r="N96" s="5" t="s">
        <v>51</v>
      </c>
    </row>
    <row r="97" spans="1:14" x14ac:dyDescent="0.3">
      <c r="A97" s="5">
        <v>1096</v>
      </c>
      <c r="B97" s="6">
        <v>45331</v>
      </c>
      <c r="C97" s="5" t="s">
        <v>15</v>
      </c>
      <c r="D97" s="5" t="s">
        <v>23</v>
      </c>
      <c r="E97" s="5" t="s">
        <v>20</v>
      </c>
      <c r="F97" s="5" t="s">
        <v>30</v>
      </c>
      <c r="G97" s="5" t="s">
        <v>35</v>
      </c>
      <c r="H97" s="5" t="s">
        <v>45</v>
      </c>
      <c r="I97" s="5">
        <v>7</v>
      </c>
      <c r="J97" s="5">
        <v>57577</v>
      </c>
      <c r="K97" s="5">
        <v>403039</v>
      </c>
      <c r="L97" s="5">
        <v>307799</v>
      </c>
      <c r="M97" s="5">
        <v>95240</v>
      </c>
      <c r="N97" s="5" t="s">
        <v>51</v>
      </c>
    </row>
    <row r="98" spans="1:14" x14ac:dyDescent="0.3">
      <c r="A98" s="5">
        <v>1097</v>
      </c>
      <c r="B98" s="6">
        <v>45428</v>
      </c>
      <c r="C98" s="5" t="s">
        <v>17</v>
      </c>
      <c r="D98" s="5" t="s">
        <v>20</v>
      </c>
      <c r="E98" s="5" t="s">
        <v>28</v>
      </c>
      <c r="F98" s="5" t="s">
        <v>29</v>
      </c>
      <c r="G98" s="5" t="s">
        <v>32</v>
      </c>
      <c r="H98" s="5" t="s">
        <v>44</v>
      </c>
      <c r="I98" s="5">
        <v>6</v>
      </c>
      <c r="J98" s="5">
        <v>56359</v>
      </c>
      <c r="K98" s="5">
        <v>338154</v>
      </c>
      <c r="L98" s="5">
        <v>259901.57</v>
      </c>
      <c r="M98" s="5">
        <v>78252.429999999993</v>
      </c>
      <c r="N98" s="5" t="s">
        <v>51</v>
      </c>
    </row>
    <row r="99" spans="1:14" x14ac:dyDescent="0.3">
      <c r="A99" s="5">
        <v>1098</v>
      </c>
      <c r="B99" s="6">
        <v>45467</v>
      </c>
      <c r="C99" s="5" t="s">
        <v>16</v>
      </c>
      <c r="D99" s="5" t="s">
        <v>21</v>
      </c>
      <c r="E99" s="5" t="s">
        <v>28</v>
      </c>
      <c r="F99" s="5" t="s">
        <v>29</v>
      </c>
      <c r="G99" s="5" t="s">
        <v>32</v>
      </c>
      <c r="H99" s="5" t="s">
        <v>48</v>
      </c>
      <c r="I99" s="5">
        <v>10</v>
      </c>
      <c r="J99" s="5">
        <v>4984</v>
      </c>
      <c r="K99" s="5">
        <v>49840</v>
      </c>
      <c r="L99" s="5">
        <v>32829.24</v>
      </c>
      <c r="M99" s="5">
        <v>17010.759999999998</v>
      </c>
      <c r="N99" s="5" t="s">
        <v>51</v>
      </c>
    </row>
    <row r="100" spans="1:14" x14ac:dyDescent="0.3">
      <c r="A100" s="5">
        <v>1099</v>
      </c>
      <c r="B100" s="6">
        <v>45299</v>
      </c>
      <c r="C100" s="5" t="s">
        <v>15</v>
      </c>
      <c r="D100" s="5" t="s">
        <v>20</v>
      </c>
      <c r="E100" s="5" t="s">
        <v>24</v>
      </c>
      <c r="F100" s="5" t="s">
        <v>30</v>
      </c>
      <c r="G100" s="5" t="s">
        <v>42</v>
      </c>
      <c r="H100" s="5" t="s">
        <v>45</v>
      </c>
      <c r="I100" s="5">
        <v>8</v>
      </c>
      <c r="J100" s="5">
        <v>11402</v>
      </c>
      <c r="K100" s="5">
        <v>91216</v>
      </c>
      <c r="L100" s="5">
        <v>70555.600000000006</v>
      </c>
      <c r="M100" s="5">
        <v>20660.400000000001</v>
      </c>
      <c r="N100" s="5" t="s">
        <v>51</v>
      </c>
    </row>
    <row r="101" spans="1:14" x14ac:dyDescent="0.3">
      <c r="A101" s="5">
        <v>1100</v>
      </c>
      <c r="B101" s="6">
        <v>45436</v>
      </c>
      <c r="C101" s="5" t="s">
        <v>14</v>
      </c>
      <c r="D101" s="5" t="s">
        <v>21</v>
      </c>
      <c r="E101" s="5" t="s">
        <v>25</v>
      </c>
      <c r="F101" s="5" t="s">
        <v>31</v>
      </c>
      <c r="G101" s="5" t="s">
        <v>41</v>
      </c>
      <c r="H101" s="5" t="s">
        <v>48</v>
      </c>
      <c r="I101" s="5">
        <v>3</v>
      </c>
      <c r="J101" s="5">
        <v>16503</v>
      </c>
      <c r="K101" s="5">
        <v>49509</v>
      </c>
      <c r="L101" s="5">
        <v>36279.78</v>
      </c>
      <c r="M101" s="5">
        <v>13229.22</v>
      </c>
      <c r="N101" s="5" t="s">
        <v>51</v>
      </c>
    </row>
    <row r="102" spans="1:14" x14ac:dyDescent="0.3">
      <c r="A102" s="5">
        <v>1101</v>
      </c>
      <c r="B102" s="6">
        <v>45410</v>
      </c>
      <c r="C102" s="5" t="s">
        <v>16</v>
      </c>
      <c r="D102" s="5" t="s">
        <v>23</v>
      </c>
      <c r="E102" s="5" t="s">
        <v>20</v>
      </c>
      <c r="F102" s="5" t="s">
        <v>29</v>
      </c>
      <c r="G102" s="5" t="s">
        <v>36</v>
      </c>
      <c r="H102" s="5" t="s">
        <v>44</v>
      </c>
      <c r="I102" s="5">
        <v>8</v>
      </c>
      <c r="J102" s="5">
        <v>38717</v>
      </c>
      <c r="K102" s="5">
        <v>309736</v>
      </c>
      <c r="L102" s="5">
        <v>196923.78</v>
      </c>
      <c r="M102" s="5">
        <v>112812.22</v>
      </c>
      <c r="N102" s="5" t="s">
        <v>50</v>
      </c>
    </row>
    <row r="103" spans="1:14" x14ac:dyDescent="0.3">
      <c r="A103" s="5">
        <v>1102</v>
      </c>
      <c r="B103" s="6">
        <v>45380</v>
      </c>
      <c r="C103" s="5" t="s">
        <v>16</v>
      </c>
      <c r="D103" s="5" t="s">
        <v>18</v>
      </c>
      <c r="E103" s="5" t="s">
        <v>26</v>
      </c>
      <c r="F103" s="5" t="s">
        <v>31</v>
      </c>
      <c r="G103" s="5" t="s">
        <v>37</v>
      </c>
      <c r="H103" s="5" t="s">
        <v>44</v>
      </c>
      <c r="I103" s="5">
        <v>9</v>
      </c>
      <c r="J103" s="5">
        <v>10853</v>
      </c>
      <c r="K103" s="5">
        <v>97677</v>
      </c>
      <c r="L103" s="5">
        <v>60409.85</v>
      </c>
      <c r="M103" s="5">
        <v>37267.15</v>
      </c>
      <c r="N103" s="5" t="s">
        <v>51</v>
      </c>
    </row>
    <row r="104" spans="1:14" x14ac:dyDescent="0.3">
      <c r="A104" s="5">
        <v>1103</v>
      </c>
      <c r="B104" s="6">
        <v>45319</v>
      </c>
      <c r="C104" s="5" t="s">
        <v>14</v>
      </c>
      <c r="D104" s="5" t="s">
        <v>23</v>
      </c>
      <c r="E104" s="5" t="s">
        <v>27</v>
      </c>
      <c r="F104" s="5" t="s">
        <v>31</v>
      </c>
      <c r="G104" s="5" t="s">
        <v>37</v>
      </c>
      <c r="H104" s="5" t="s">
        <v>45</v>
      </c>
      <c r="I104" s="5">
        <v>4</v>
      </c>
      <c r="J104" s="5">
        <v>25711</v>
      </c>
      <c r="K104" s="5">
        <v>102844</v>
      </c>
      <c r="L104" s="5">
        <v>83646.509999999995</v>
      </c>
      <c r="M104" s="5">
        <v>19197.490000000002</v>
      </c>
      <c r="N104" s="5" t="s">
        <v>51</v>
      </c>
    </row>
    <row r="105" spans="1:14" x14ac:dyDescent="0.3">
      <c r="A105" s="5">
        <v>1104</v>
      </c>
      <c r="B105" s="6">
        <v>45362</v>
      </c>
      <c r="C105" s="5" t="s">
        <v>15</v>
      </c>
      <c r="D105" s="5" t="s">
        <v>19</v>
      </c>
      <c r="E105" s="5" t="s">
        <v>28</v>
      </c>
      <c r="F105" s="5" t="s">
        <v>29</v>
      </c>
      <c r="G105" s="5" t="s">
        <v>38</v>
      </c>
      <c r="H105" s="5" t="s">
        <v>44</v>
      </c>
      <c r="I105" s="5">
        <v>1</v>
      </c>
      <c r="J105" s="5">
        <v>54897</v>
      </c>
      <c r="K105" s="5">
        <v>54897</v>
      </c>
      <c r="L105" s="5">
        <v>41971.91</v>
      </c>
      <c r="M105" s="5">
        <v>12925.09</v>
      </c>
      <c r="N105" s="5" t="s">
        <v>50</v>
      </c>
    </row>
    <row r="106" spans="1:14" x14ac:dyDescent="0.3">
      <c r="A106" s="5">
        <v>1105</v>
      </c>
      <c r="B106" s="6">
        <v>45447</v>
      </c>
      <c r="C106" s="5" t="s">
        <v>16</v>
      </c>
      <c r="D106" s="5" t="s">
        <v>21</v>
      </c>
      <c r="E106" s="5" t="s">
        <v>28</v>
      </c>
      <c r="F106" s="5" t="s">
        <v>29</v>
      </c>
      <c r="G106" s="5" t="s">
        <v>33</v>
      </c>
      <c r="H106" s="5" t="s">
        <v>47</v>
      </c>
      <c r="I106" s="5">
        <v>5</v>
      </c>
      <c r="J106" s="5">
        <v>51338</v>
      </c>
      <c r="K106" s="5">
        <v>256690</v>
      </c>
      <c r="L106" s="5">
        <v>205278.85</v>
      </c>
      <c r="M106" s="5">
        <v>51411.15</v>
      </c>
      <c r="N106" s="5" t="s">
        <v>51</v>
      </c>
    </row>
    <row r="107" spans="1:14" x14ac:dyDescent="0.3">
      <c r="A107" s="5">
        <v>1106</v>
      </c>
      <c r="B107" s="6">
        <v>45302</v>
      </c>
      <c r="C107" s="5" t="s">
        <v>16</v>
      </c>
      <c r="D107" s="5" t="s">
        <v>23</v>
      </c>
      <c r="E107" s="5" t="s">
        <v>24</v>
      </c>
      <c r="F107" s="5" t="s">
        <v>29</v>
      </c>
      <c r="G107" s="5" t="s">
        <v>36</v>
      </c>
      <c r="H107" s="5" t="s">
        <v>49</v>
      </c>
      <c r="I107" s="5">
        <v>2</v>
      </c>
      <c r="J107" s="5">
        <v>59705</v>
      </c>
      <c r="K107" s="5">
        <v>119410</v>
      </c>
      <c r="L107" s="5">
        <v>90377.19</v>
      </c>
      <c r="M107" s="5">
        <v>29032.81</v>
      </c>
      <c r="N107" s="5" t="s">
        <v>51</v>
      </c>
    </row>
    <row r="108" spans="1:14" x14ac:dyDescent="0.3">
      <c r="A108" s="5">
        <v>1107</v>
      </c>
      <c r="B108" s="6">
        <v>45398</v>
      </c>
      <c r="C108" s="5" t="s">
        <v>14</v>
      </c>
      <c r="D108" s="5" t="s">
        <v>21</v>
      </c>
      <c r="E108" s="5" t="s">
        <v>25</v>
      </c>
      <c r="F108" s="5" t="s">
        <v>29</v>
      </c>
      <c r="G108" s="5" t="s">
        <v>36</v>
      </c>
      <c r="H108" s="5" t="s">
        <v>49</v>
      </c>
      <c r="I108" s="5">
        <v>2</v>
      </c>
      <c r="J108" s="5">
        <v>19840</v>
      </c>
      <c r="K108" s="5">
        <v>39680</v>
      </c>
      <c r="L108" s="5">
        <v>27049.05</v>
      </c>
      <c r="M108" s="5">
        <v>12630.95</v>
      </c>
      <c r="N108" s="5" t="s">
        <v>51</v>
      </c>
    </row>
    <row r="109" spans="1:14" x14ac:dyDescent="0.3">
      <c r="A109" s="5">
        <v>1108</v>
      </c>
      <c r="B109" s="6">
        <v>45415</v>
      </c>
      <c r="C109" s="5" t="s">
        <v>16</v>
      </c>
      <c r="D109" s="5" t="s">
        <v>18</v>
      </c>
      <c r="E109" s="5" t="s">
        <v>20</v>
      </c>
      <c r="F109" s="5" t="s">
        <v>29</v>
      </c>
      <c r="G109" s="5" t="s">
        <v>38</v>
      </c>
      <c r="H109" s="5" t="s">
        <v>48</v>
      </c>
      <c r="I109" s="5">
        <v>3</v>
      </c>
      <c r="J109" s="5">
        <v>17340</v>
      </c>
      <c r="K109" s="5">
        <v>52020</v>
      </c>
      <c r="L109" s="5">
        <v>43099.21</v>
      </c>
      <c r="M109" s="5">
        <v>8920.7900000000009</v>
      </c>
      <c r="N109" s="5" t="s">
        <v>51</v>
      </c>
    </row>
    <row r="110" spans="1:14" x14ac:dyDescent="0.3">
      <c r="A110" s="5">
        <v>1109</v>
      </c>
      <c r="B110" s="6">
        <v>45464</v>
      </c>
      <c r="C110" s="5" t="s">
        <v>17</v>
      </c>
      <c r="D110" s="5" t="s">
        <v>19</v>
      </c>
      <c r="E110" s="5" t="s">
        <v>20</v>
      </c>
      <c r="F110" s="5" t="s">
        <v>30</v>
      </c>
      <c r="G110" s="5" t="s">
        <v>35</v>
      </c>
      <c r="H110" s="5" t="s">
        <v>48</v>
      </c>
      <c r="I110" s="5">
        <v>4</v>
      </c>
      <c r="J110" s="5">
        <v>56870</v>
      </c>
      <c r="K110" s="5">
        <v>227480</v>
      </c>
      <c r="L110" s="5">
        <v>174950.53</v>
      </c>
      <c r="M110" s="5">
        <v>52529.47</v>
      </c>
      <c r="N110" s="5" t="s">
        <v>51</v>
      </c>
    </row>
    <row r="111" spans="1:14" x14ac:dyDescent="0.3">
      <c r="A111" s="5">
        <v>1110</v>
      </c>
      <c r="B111" s="6">
        <v>45464</v>
      </c>
      <c r="C111" s="5" t="s">
        <v>16</v>
      </c>
      <c r="D111" s="5" t="s">
        <v>19</v>
      </c>
      <c r="E111" s="5" t="s">
        <v>26</v>
      </c>
      <c r="F111" s="5" t="s">
        <v>30</v>
      </c>
      <c r="G111" s="5" t="s">
        <v>40</v>
      </c>
      <c r="H111" s="5" t="s">
        <v>44</v>
      </c>
      <c r="I111" s="5">
        <v>9</v>
      </c>
      <c r="J111" s="5">
        <v>8599</v>
      </c>
      <c r="K111" s="5">
        <v>77391</v>
      </c>
      <c r="L111" s="5">
        <v>55233.69</v>
      </c>
      <c r="M111" s="5">
        <v>22157.31</v>
      </c>
      <c r="N111" s="5" t="s">
        <v>51</v>
      </c>
    </row>
    <row r="112" spans="1:14" x14ac:dyDescent="0.3">
      <c r="A112" s="5">
        <v>1111</v>
      </c>
      <c r="B112" s="6">
        <v>45435</v>
      </c>
      <c r="C112" s="5" t="s">
        <v>16</v>
      </c>
      <c r="D112" s="5" t="s">
        <v>19</v>
      </c>
      <c r="E112" s="5" t="s">
        <v>25</v>
      </c>
      <c r="F112" s="5" t="s">
        <v>30</v>
      </c>
      <c r="G112" s="5" t="s">
        <v>35</v>
      </c>
      <c r="H112" s="5" t="s">
        <v>44</v>
      </c>
      <c r="I112" s="5">
        <v>8</v>
      </c>
      <c r="J112" s="5">
        <v>2140</v>
      </c>
      <c r="K112" s="5">
        <v>17120</v>
      </c>
      <c r="L112" s="5">
        <v>12923.66</v>
      </c>
      <c r="M112" s="5">
        <v>4196.34</v>
      </c>
      <c r="N112" s="5" t="s">
        <v>50</v>
      </c>
    </row>
    <row r="113" spans="1:14" x14ac:dyDescent="0.3">
      <c r="A113" s="5">
        <v>1112</v>
      </c>
      <c r="B113" s="6">
        <v>45327</v>
      </c>
      <c r="C113" s="5" t="s">
        <v>15</v>
      </c>
      <c r="D113" s="5" t="s">
        <v>22</v>
      </c>
      <c r="E113" s="5" t="s">
        <v>20</v>
      </c>
      <c r="F113" s="5" t="s">
        <v>29</v>
      </c>
      <c r="G113" s="5" t="s">
        <v>33</v>
      </c>
      <c r="H113" s="5" t="s">
        <v>46</v>
      </c>
      <c r="I113" s="5">
        <v>5</v>
      </c>
      <c r="J113" s="5">
        <v>43048</v>
      </c>
      <c r="K113" s="5">
        <v>215240</v>
      </c>
      <c r="L113" s="5">
        <v>151114.4</v>
      </c>
      <c r="M113" s="5">
        <v>64125.599999999999</v>
      </c>
      <c r="N113" s="5" t="s">
        <v>50</v>
      </c>
    </row>
    <row r="114" spans="1:14" x14ac:dyDescent="0.3">
      <c r="A114" s="5">
        <v>1113</v>
      </c>
      <c r="B114" s="6">
        <v>45386</v>
      </c>
      <c r="C114" s="5" t="s">
        <v>17</v>
      </c>
      <c r="D114" s="5" t="s">
        <v>19</v>
      </c>
      <c r="E114" s="5" t="s">
        <v>28</v>
      </c>
      <c r="F114" s="5" t="s">
        <v>30</v>
      </c>
      <c r="G114" s="5" t="s">
        <v>35</v>
      </c>
      <c r="H114" s="5" t="s">
        <v>44</v>
      </c>
      <c r="I114" s="5">
        <v>9</v>
      </c>
      <c r="J114" s="5">
        <v>9390</v>
      </c>
      <c r="K114" s="5">
        <v>84510</v>
      </c>
      <c r="L114" s="5">
        <v>58917.11</v>
      </c>
      <c r="M114" s="5">
        <v>25592.89</v>
      </c>
      <c r="N114" s="5" t="s">
        <v>50</v>
      </c>
    </row>
    <row r="115" spans="1:14" x14ac:dyDescent="0.3">
      <c r="A115" s="5">
        <v>1114</v>
      </c>
      <c r="B115" s="6">
        <v>45363</v>
      </c>
      <c r="C115" s="5" t="s">
        <v>15</v>
      </c>
      <c r="D115" s="5" t="s">
        <v>18</v>
      </c>
      <c r="E115" s="5" t="s">
        <v>20</v>
      </c>
      <c r="F115" s="5" t="s">
        <v>31</v>
      </c>
      <c r="G115" s="5" t="s">
        <v>39</v>
      </c>
      <c r="H115" s="5" t="s">
        <v>47</v>
      </c>
      <c r="I115" s="5">
        <v>8</v>
      </c>
      <c r="J115" s="5">
        <v>40847</v>
      </c>
      <c r="K115" s="5">
        <v>326776</v>
      </c>
      <c r="L115" s="5">
        <v>229406.22</v>
      </c>
      <c r="M115" s="5">
        <v>97369.78</v>
      </c>
      <c r="N115" s="5" t="s">
        <v>51</v>
      </c>
    </row>
    <row r="116" spans="1:14" x14ac:dyDescent="0.3">
      <c r="A116" s="5">
        <v>1115</v>
      </c>
      <c r="B116" s="6">
        <v>45386</v>
      </c>
      <c r="C116" s="5" t="s">
        <v>16</v>
      </c>
      <c r="D116" s="5" t="s">
        <v>22</v>
      </c>
      <c r="E116" s="5" t="s">
        <v>26</v>
      </c>
      <c r="F116" s="5" t="s">
        <v>31</v>
      </c>
      <c r="G116" s="5" t="s">
        <v>43</v>
      </c>
      <c r="H116" s="5" t="s">
        <v>45</v>
      </c>
      <c r="I116" s="5">
        <v>6</v>
      </c>
      <c r="J116" s="5">
        <v>7011</v>
      </c>
      <c r="K116" s="5">
        <v>42066</v>
      </c>
      <c r="L116" s="5">
        <v>35555.53</v>
      </c>
      <c r="M116" s="5">
        <v>6510.47</v>
      </c>
      <c r="N116" s="5" t="s">
        <v>50</v>
      </c>
    </row>
    <row r="117" spans="1:14" x14ac:dyDescent="0.3">
      <c r="A117" s="5">
        <v>1116</v>
      </c>
      <c r="B117" s="6">
        <v>45455</v>
      </c>
      <c r="C117" s="5" t="s">
        <v>15</v>
      </c>
      <c r="D117" s="5" t="s">
        <v>22</v>
      </c>
      <c r="E117" s="5" t="s">
        <v>20</v>
      </c>
      <c r="F117" s="5" t="s">
        <v>30</v>
      </c>
      <c r="G117" s="5" t="s">
        <v>34</v>
      </c>
      <c r="H117" s="5" t="s">
        <v>47</v>
      </c>
      <c r="I117" s="5">
        <v>2</v>
      </c>
      <c r="J117" s="5">
        <v>43935</v>
      </c>
      <c r="K117" s="5">
        <v>87870</v>
      </c>
      <c r="L117" s="5">
        <v>57381.43</v>
      </c>
      <c r="M117" s="5">
        <v>30488.57</v>
      </c>
      <c r="N117" s="5" t="s">
        <v>50</v>
      </c>
    </row>
    <row r="118" spans="1:14" x14ac:dyDescent="0.3">
      <c r="A118" s="5">
        <v>1117</v>
      </c>
      <c r="B118" s="6">
        <v>45345</v>
      </c>
      <c r="C118" s="5" t="s">
        <v>14</v>
      </c>
      <c r="D118" s="5" t="s">
        <v>21</v>
      </c>
      <c r="E118" s="5" t="s">
        <v>20</v>
      </c>
      <c r="F118" s="5" t="s">
        <v>29</v>
      </c>
      <c r="G118" s="5" t="s">
        <v>36</v>
      </c>
      <c r="H118" s="5" t="s">
        <v>47</v>
      </c>
      <c r="I118" s="5">
        <v>2</v>
      </c>
      <c r="J118" s="5">
        <v>54882</v>
      </c>
      <c r="K118" s="5">
        <v>109764</v>
      </c>
      <c r="L118" s="5">
        <v>86855.08</v>
      </c>
      <c r="M118" s="5">
        <v>22908.92</v>
      </c>
      <c r="N118" s="5" t="s">
        <v>50</v>
      </c>
    </row>
    <row r="119" spans="1:14" x14ac:dyDescent="0.3">
      <c r="A119" s="5">
        <v>1118</v>
      </c>
      <c r="B119" s="6">
        <v>45336</v>
      </c>
      <c r="C119" s="5" t="s">
        <v>15</v>
      </c>
      <c r="D119" s="5" t="s">
        <v>18</v>
      </c>
      <c r="E119" s="5" t="s">
        <v>24</v>
      </c>
      <c r="F119" s="5" t="s">
        <v>31</v>
      </c>
      <c r="G119" s="5" t="s">
        <v>43</v>
      </c>
      <c r="H119" s="5" t="s">
        <v>47</v>
      </c>
      <c r="I119" s="5">
        <v>3</v>
      </c>
      <c r="J119" s="5">
        <v>35903</v>
      </c>
      <c r="K119" s="5">
        <v>107709</v>
      </c>
      <c r="L119" s="5">
        <v>71374.83</v>
      </c>
      <c r="M119" s="5">
        <v>36334.17</v>
      </c>
      <c r="N119" s="5" t="s">
        <v>50</v>
      </c>
    </row>
    <row r="120" spans="1:14" x14ac:dyDescent="0.3">
      <c r="A120" s="5">
        <v>1119</v>
      </c>
      <c r="B120" s="6">
        <v>45359</v>
      </c>
      <c r="C120" s="5" t="s">
        <v>15</v>
      </c>
      <c r="D120" s="5" t="s">
        <v>21</v>
      </c>
      <c r="E120" s="5" t="s">
        <v>28</v>
      </c>
      <c r="F120" s="5" t="s">
        <v>31</v>
      </c>
      <c r="G120" s="5" t="s">
        <v>43</v>
      </c>
      <c r="H120" s="5" t="s">
        <v>46</v>
      </c>
      <c r="I120" s="5">
        <v>10</v>
      </c>
      <c r="J120" s="5">
        <v>21718</v>
      </c>
      <c r="K120" s="5">
        <v>217180</v>
      </c>
      <c r="L120" s="5">
        <v>131164.82999999999</v>
      </c>
      <c r="M120" s="5">
        <v>86015.17</v>
      </c>
      <c r="N120" s="5" t="s">
        <v>50</v>
      </c>
    </row>
    <row r="121" spans="1:14" x14ac:dyDescent="0.3">
      <c r="A121" s="5">
        <v>1120</v>
      </c>
      <c r="B121" s="6">
        <v>45423</v>
      </c>
      <c r="C121" s="5" t="s">
        <v>15</v>
      </c>
      <c r="D121" s="5" t="s">
        <v>23</v>
      </c>
      <c r="E121" s="5" t="s">
        <v>27</v>
      </c>
      <c r="F121" s="5" t="s">
        <v>29</v>
      </c>
      <c r="G121" s="5" t="s">
        <v>32</v>
      </c>
      <c r="H121" s="5" t="s">
        <v>47</v>
      </c>
      <c r="I121" s="5">
        <v>8</v>
      </c>
      <c r="J121" s="5">
        <v>29878</v>
      </c>
      <c r="K121" s="5">
        <v>239024</v>
      </c>
      <c r="L121" s="5">
        <v>189905.59</v>
      </c>
      <c r="M121" s="5">
        <v>49118.41</v>
      </c>
      <c r="N121" s="5" t="s">
        <v>50</v>
      </c>
    </row>
    <row r="122" spans="1:14" x14ac:dyDescent="0.3">
      <c r="A122" s="5">
        <v>1121</v>
      </c>
      <c r="B122" s="6">
        <v>45307</v>
      </c>
      <c r="C122" s="5" t="s">
        <v>17</v>
      </c>
      <c r="D122" s="5" t="s">
        <v>23</v>
      </c>
      <c r="E122" s="5" t="s">
        <v>26</v>
      </c>
      <c r="F122" s="5" t="s">
        <v>29</v>
      </c>
      <c r="G122" s="5" t="s">
        <v>38</v>
      </c>
      <c r="H122" s="5" t="s">
        <v>44</v>
      </c>
      <c r="I122" s="5">
        <v>8</v>
      </c>
      <c r="J122" s="5">
        <v>42661</v>
      </c>
      <c r="K122" s="5">
        <v>341288</v>
      </c>
      <c r="L122" s="5">
        <v>287025.44</v>
      </c>
      <c r="M122" s="5">
        <v>54262.559999999998</v>
      </c>
      <c r="N122" s="5" t="s">
        <v>50</v>
      </c>
    </row>
    <row r="123" spans="1:14" x14ac:dyDescent="0.3">
      <c r="A123" s="5">
        <v>1122</v>
      </c>
      <c r="B123" s="6">
        <v>45447</v>
      </c>
      <c r="C123" s="5" t="s">
        <v>14</v>
      </c>
      <c r="D123" s="5" t="s">
        <v>22</v>
      </c>
      <c r="E123" s="5" t="s">
        <v>25</v>
      </c>
      <c r="F123" s="5" t="s">
        <v>31</v>
      </c>
      <c r="G123" s="5" t="s">
        <v>41</v>
      </c>
      <c r="H123" s="5" t="s">
        <v>45</v>
      </c>
      <c r="I123" s="5">
        <v>2</v>
      </c>
      <c r="J123" s="5">
        <v>59434</v>
      </c>
      <c r="K123" s="5">
        <v>118868</v>
      </c>
      <c r="L123" s="5">
        <v>73721.649999999994</v>
      </c>
      <c r="M123" s="5">
        <v>45146.35</v>
      </c>
      <c r="N123" s="5" t="s">
        <v>51</v>
      </c>
    </row>
    <row r="124" spans="1:14" x14ac:dyDescent="0.3">
      <c r="A124" s="5">
        <v>1123</v>
      </c>
      <c r="B124" s="6">
        <v>45317</v>
      </c>
      <c r="C124" s="5" t="s">
        <v>15</v>
      </c>
      <c r="D124" s="5" t="s">
        <v>18</v>
      </c>
      <c r="E124" s="5" t="s">
        <v>28</v>
      </c>
      <c r="F124" s="5" t="s">
        <v>31</v>
      </c>
      <c r="G124" s="5" t="s">
        <v>37</v>
      </c>
      <c r="H124" s="5" t="s">
        <v>49</v>
      </c>
      <c r="I124" s="5">
        <v>8</v>
      </c>
      <c r="J124" s="5">
        <v>33631</v>
      </c>
      <c r="K124" s="5">
        <v>269048</v>
      </c>
      <c r="L124" s="5">
        <v>202151.02</v>
      </c>
      <c r="M124" s="5">
        <v>66896.98</v>
      </c>
      <c r="N124" s="5" t="s">
        <v>50</v>
      </c>
    </row>
    <row r="125" spans="1:14" x14ac:dyDescent="0.3">
      <c r="A125" s="5">
        <v>1124</v>
      </c>
      <c r="B125" s="6">
        <v>45408</v>
      </c>
      <c r="C125" s="5" t="s">
        <v>17</v>
      </c>
      <c r="D125" s="5" t="s">
        <v>23</v>
      </c>
      <c r="E125" s="5" t="s">
        <v>28</v>
      </c>
      <c r="F125" s="5" t="s">
        <v>31</v>
      </c>
      <c r="G125" s="5" t="s">
        <v>41</v>
      </c>
      <c r="H125" s="5" t="s">
        <v>48</v>
      </c>
      <c r="I125" s="5">
        <v>4</v>
      </c>
      <c r="J125" s="5">
        <v>27619</v>
      </c>
      <c r="K125" s="5">
        <v>110476</v>
      </c>
      <c r="L125" s="5">
        <v>75646.55</v>
      </c>
      <c r="M125" s="5">
        <v>34829.449999999997</v>
      </c>
      <c r="N125" s="5" t="s">
        <v>51</v>
      </c>
    </row>
    <row r="126" spans="1:14" x14ac:dyDescent="0.3">
      <c r="A126" s="5">
        <v>1125</v>
      </c>
      <c r="B126" s="6">
        <v>45467</v>
      </c>
      <c r="C126" s="5" t="s">
        <v>17</v>
      </c>
      <c r="D126" s="5" t="s">
        <v>22</v>
      </c>
      <c r="E126" s="5" t="s">
        <v>24</v>
      </c>
      <c r="F126" s="5" t="s">
        <v>31</v>
      </c>
      <c r="G126" s="5" t="s">
        <v>37</v>
      </c>
      <c r="H126" s="5" t="s">
        <v>48</v>
      </c>
      <c r="I126" s="5">
        <v>5</v>
      </c>
      <c r="J126" s="5">
        <v>25030</v>
      </c>
      <c r="K126" s="5">
        <v>125150</v>
      </c>
      <c r="L126" s="5">
        <v>104925.53</v>
      </c>
      <c r="M126" s="5">
        <v>20224.47</v>
      </c>
      <c r="N126" s="5" t="s">
        <v>50</v>
      </c>
    </row>
    <row r="127" spans="1:14" x14ac:dyDescent="0.3">
      <c r="A127" s="5">
        <v>1126</v>
      </c>
      <c r="B127" s="6">
        <v>45307</v>
      </c>
      <c r="C127" s="5" t="s">
        <v>16</v>
      </c>
      <c r="D127" s="5" t="s">
        <v>18</v>
      </c>
      <c r="E127" s="5" t="s">
        <v>24</v>
      </c>
      <c r="F127" s="5" t="s">
        <v>31</v>
      </c>
      <c r="G127" s="5" t="s">
        <v>39</v>
      </c>
      <c r="H127" s="5" t="s">
        <v>46</v>
      </c>
      <c r="I127" s="5">
        <v>6</v>
      </c>
      <c r="J127" s="5">
        <v>53700</v>
      </c>
      <c r="K127" s="5">
        <v>322200</v>
      </c>
      <c r="L127" s="5">
        <v>203800.8</v>
      </c>
      <c r="M127" s="5">
        <v>118399.2</v>
      </c>
      <c r="N127" s="5" t="s">
        <v>51</v>
      </c>
    </row>
    <row r="128" spans="1:14" x14ac:dyDescent="0.3">
      <c r="A128" s="5">
        <v>1127</v>
      </c>
      <c r="B128" s="6">
        <v>45382</v>
      </c>
      <c r="C128" s="5" t="s">
        <v>15</v>
      </c>
      <c r="D128" s="5" t="s">
        <v>19</v>
      </c>
      <c r="E128" s="5" t="s">
        <v>27</v>
      </c>
      <c r="F128" s="5" t="s">
        <v>29</v>
      </c>
      <c r="G128" s="5" t="s">
        <v>33</v>
      </c>
      <c r="H128" s="5" t="s">
        <v>47</v>
      </c>
      <c r="I128" s="5">
        <v>1</v>
      </c>
      <c r="J128" s="5">
        <v>19350</v>
      </c>
      <c r="K128" s="5">
        <v>19350</v>
      </c>
      <c r="L128" s="5">
        <v>14514.48</v>
      </c>
      <c r="M128" s="5">
        <v>4835.5200000000004</v>
      </c>
      <c r="N128" s="5" t="s">
        <v>50</v>
      </c>
    </row>
    <row r="129" spans="1:14" x14ac:dyDescent="0.3">
      <c r="A129" s="5">
        <v>1128</v>
      </c>
      <c r="B129" s="6">
        <v>45434</v>
      </c>
      <c r="C129" s="5" t="s">
        <v>16</v>
      </c>
      <c r="D129" s="5" t="s">
        <v>22</v>
      </c>
      <c r="E129" s="5" t="s">
        <v>20</v>
      </c>
      <c r="F129" s="5" t="s">
        <v>29</v>
      </c>
      <c r="G129" s="5" t="s">
        <v>33</v>
      </c>
      <c r="H129" s="5" t="s">
        <v>49</v>
      </c>
      <c r="I129" s="5">
        <v>4</v>
      </c>
      <c r="J129" s="5">
        <v>56027</v>
      </c>
      <c r="K129" s="5">
        <v>224108</v>
      </c>
      <c r="L129" s="5">
        <v>140527.95000000001</v>
      </c>
      <c r="M129" s="5">
        <v>83580.05</v>
      </c>
      <c r="N129" s="5" t="s">
        <v>50</v>
      </c>
    </row>
    <row r="130" spans="1:14" x14ac:dyDescent="0.3">
      <c r="A130" s="5">
        <v>1129</v>
      </c>
      <c r="B130" s="6">
        <v>45360</v>
      </c>
      <c r="C130" s="5" t="s">
        <v>15</v>
      </c>
      <c r="D130" s="5" t="s">
        <v>21</v>
      </c>
      <c r="E130" s="5" t="s">
        <v>20</v>
      </c>
      <c r="F130" s="5" t="s">
        <v>31</v>
      </c>
      <c r="G130" s="5" t="s">
        <v>39</v>
      </c>
      <c r="H130" s="5" t="s">
        <v>44</v>
      </c>
      <c r="I130" s="5">
        <v>10</v>
      </c>
      <c r="J130" s="5">
        <v>43611</v>
      </c>
      <c r="K130" s="5">
        <v>436110</v>
      </c>
      <c r="L130" s="5">
        <v>352100.04</v>
      </c>
      <c r="M130" s="5">
        <v>84009.96</v>
      </c>
      <c r="N130" s="5" t="s">
        <v>51</v>
      </c>
    </row>
    <row r="131" spans="1:14" x14ac:dyDescent="0.3">
      <c r="A131" s="5">
        <v>1130</v>
      </c>
      <c r="B131" s="6">
        <v>45436</v>
      </c>
      <c r="C131" s="5" t="s">
        <v>17</v>
      </c>
      <c r="D131" s="5" t="s">
        <v>22</v>
      </c>
      <c r="E131" s="5" t="s">
        <v>25</v>
      </c>
      <c r="F131" s="5" t="s">
        <v>31</v>
      </c>
      <c r="G131" s="5" t="s">
        <v>37</v>
      </c>
      <c r="H131" s="5" t="s">
        <v>44</v>
      </c>
      <c r="I131" s="5">
        <v>1</v>
      </c>
      <c r="J131" s="5">
        <v>12388</v>
      </c>
      <c r="K131" s="5">
        <v>12388</v>
      </c>
      <c r="L131" s="5">
        <v>10126.76</v>
      </c>
      <c r="M131" s="5">
        <v>2261.2399999999998</v>
      </c>
      <c r="N131" s="5" t="s">
        <v>50</v>
      </c>
    </row>
    <row r="132" spans="1:14" x14ac:dyDescent="0.3">
      <c r="A132" s="5">
        <v>1131</v>
      </c>
      <c r="B132" s="6">
        <v>45332</v>
      </c>
      <c r="C132" s="5" t="s">
        <v>16</v>
      </c>
      <c r="D132" s="5" t="s">
        <v>20</v>
      </c>
      <c r="E132" s="5" t="s">
        <v>28</v>
      </c>
      <c r="F132" s="5" t="s">
        <v>30</v>
      </c>
      <c r="G132" s="5" t="s">
        <v>35</v>
      </c>
      <c r="H132" s="5" t="s">
        <v>45</v>
      </c>
      <c r="I132" s="5">
        <v>7</v>
      </c>
      <c r="J132" s="5">
        <v>28014</v>
      </c>
      <c r="K132" s="5">
        <v>196098</v>
      </c>
      <c r="L132" s="5">
        <v>139898.56</v>
      </c>
      <c r="M132" s="5">
        <v>56199.44</v>
      </c>
      <c r="N132" s="5" t="s">
        <v>50</v>
      </c>
    </row>
    <row r="133" spans="1:14" x14ac:dyDescent="0.3">
      <c r="A133" s="5">
        <v>1132</v>
      </c>
      <c r="B133" s="6">
        <v>45464</v>
      </c>
      <c r="C133" s="5" t="s">
        <v>15</v>
      </c>
      <c r="D133" s="5" t="s">
        <v>20</v>
      </c>
      <c r="E133" s="5" t="s">
        <v>26</v>
      </c>
      <c r="F133" s="5" t="s">
        <v>30</v>
      </c>
      <c r="G133" s="5" t="s">
        <v>35</v>
      </c>
      <c r="H133" s="5" t="s">
        <v>44</v>
      </c>
      <c r="I133" s="5">
        <v>3</v>
      </c>
      <c r="J133" s="5">
        <v>49942</v>
      </c>
      <c r="K133" s="5">
        <v>149826</v>
      </c>
      <c r="L133" s="5">
        <v>113037.66</v>
      </c>
      <c r="M133" s="5">
        <v>36788.339999999997</v>
      </c>
      <c r="N133" s="5" t="s">
        <v>51</v>
      </c>
    </row>
    <row r="134" spans="1:14" x14ac:dyDescent="0.3">
      <c r="A134" s="5">
        <v>1133</v>
      </c>
      <c r="B134" s="6">
        <v>45423</v>
      </c>
      <c r="C134" s="5" t="s">
        <v>15</v>
      </c>
      <c r="D134" s="5" t="s">
        <v>20</v>
      </c>
      <c r="E134" s="5" t="s">
        <v>26</v>
      </c>
      <c r="F134" s="5" t="s">
        <v>31</v>
      </c>
      <c r="G134" s="5" t="s">
        <v>41</v>
      </c>
      <c r="H134" s="5" t="s">
        <v>48</v>
      </c>
      <c r="I134" s="5">
        <v>7</v>
      </c>
      <c r="J134" s="5">
        <v>18402</v>
      </c>
      <c r="K134" s="5">
        <v>128814</v>
      </c>
      <c r="L134" s="5">
        <v>84230.48</v>
      </c>
      <c r="M134" s="5">
        <v>44583.519999999997</v>
      </c>
      <c r="N134" s="5" t="s">
        <v>51</v>
      </c>
    </row>
    <row r="135" spans="1:14" x14ac:dyDescent="0.3">
      <c r="A135" s="5">
        <v>1134</v>
      </c>
      <c r="B135" s="6">
        <v>45348</v>
      </c>
      <c r="C135" s="5" t="s">
        <v>17</v>
      </c>
      <c r="D135" s="5" t="s">
        <v>19</v>
      </c>
      <c r="E135" s="5" t="s">
        <v>24</v>
      </c>
      <c r="F135" s="5" t="s">
        <v>29</v>
      </c>
      <c r="G135" s="5" t="s">
        <v>33</v>
      </c>
      <c r="H135" s="5" t="s">
        <v>48</v>
      </c>
      <c r="I135" s="5">
        <v>9</v>
      </c>
      <c r="J135" s="5">
        <v>44221</v>
      </c>
      <c r="K135" s="5">
        <v>397989</v>
      </c>
      <c r="L135" s="5">
        <v>269480.28000000003</v>
      </c>
      <c r="M135" s="5">
        <v>128508.72</v>
      </c>
      <c r="N135" s="5" t="s">
        <v>50</v>
      </c>
    </row>
    <row r="136" spans="1:14" x14ac:dyDescent="0.3">
      <c r="A136" s="5">
        <v>1135</v>
      </c>
      <c r="B136" s="6">
        <v>45375</v>
      </c>
      <c r="C136" s="5" t="s">
        <v>15</v>
      </c>
      <c r="D136" s="5" t="s">
        <v>22</v>
      </c>
      <c r="E136" s="5" t="s">
        <v>26</v>
      </c>
      <c r="F136" s="5" t="s">
        <v>31</v>
      </c>
      <c r="G136" s="5" t="s">
        <v>43</v>
      </c>
      <c r="H136" s="5" t="s">
        <v>44</v>
      </c>
      <c r="I136" s="5">
        <v>3</v>
      </c>
      <c r="J136" s="5">
        <v>50580</v>
      </c>
      <c r="K136" s="5">
        <v>151740</v>
      </c>
      <c r="L136" s="5">
        <v>100737.13</v>
      </c>
      <c r="M136" s="5">
        <v>51002.87</v>
      </c>
      <c r="N136" s="5" t="s">
        <v>51</v>
      </c>
    </row>
    <row r="137" spans="1:14" x14ac:dyDescent="0.3">
      <c r="A137" s="5">
        <v>1136</v>
      </c>
      <c r="B137" s="6">
        <v>45420</v>
      </c>
      <c r="C137" s="5" t="s">
        <v>16</v>
      </c>
      <c r="D137" s="5" t="s">
        <v>22</v>
      </c>
      <c r="E137" s="5" t="s">
        <v>26</v>
      </c>
      <c r="F137" s="5" t="s">
        <v>30</v>
      </c>
      <c r="G137" s="5" t="s">
        <v>35</v>
      </c>
      <c r="H137" s="5" t="s">
        <v>44</v>
      </c>
      <c r="I137" s="5">
        <v>7</v>
      </c>
      <c r="J137" s="5">
        <v>35403</v>
      </c>
      <c r="K137" s="5">
        <v>247821</v>
      </c>
      <c r="L137" s="5">
        <v>192288.73</v>
      </c>
      <c r="M137" s="5">
        <v>55532.27</v>
      </c>
      <c r="N137" s="5" t="s">
        <v>50</v>
      </c>
    </row>
    <row r="138" spans="1:14" x14ac:dyDescent="0.3">
      <c r="A138" s="5">
        <v>1137</v>
      </c>
      <c r="B138" s="6">
        <v>45439</v>
      </c>
      <c r="C138" s="5" t="s">
        <v>17</v>
      </c>
      <c r="D138" s="5" t="s">
        <v>19</v>
      </c>
      <c r="E138" s="5" t="s">
        <v>26</v>
      </c>
      <c r="F138" s="5" t="s">
        <v>31</v>
      </c>
      <c r="G138" s="5" t="s">
        <v>39</v>
      </c>
      <c r="H138" s="5" t="s">
        <v>44</v>
      </c>
      <c r="I138" s="5">
        <v>8</v>
      </c>
      <c r="J138" s="5">
        <v>5602</v>
      </c>
      <c r="K138" s="5">
        <v>44816</v>
      </c>
      <c r="L138" s="5">
        <v>36548.68</v>
      </c>
      <c r="M138" s="5">
        <v>8267.32</v>
      </c>
      <c r="N138" s="5" t="s">
        <v>51</v>
      </c>
    </row>
    <row r="139" spans="1:14" x14ac:dyDescent="0.3">
      <c r="A139" s="5">
        <v>1138</v>
      </c>
      <c r="B139" s="6">
        <v>45335</v>
      </c>
      <c r="C139" s="5" t="s">
        <v>17</v>
      </c>
      <c r="D139" s="5" t="s">
        <v>18</v>
      </c>
      <c r="E139" s="5" t="s">
        <v>20</v>
      </c>
      <c r="F139" s="5" t="s">
        <v>31</v>
      </c>
      <c r="G139" s="5" t="s">
        <v>39</v>
      </c>
      <c r="H139" s="5" t="s">
        <v>48</v>
      </c>
      <c r="I139" s="5">
        <v>7</v>
      </c>
      <c r="J139" s="5">
        <v>1866</v>
      </c>
      <c r="K139" s="5">
        <v>13062</v>
      </c>
      <c r="L139" s="5">
        <v>10992.33</v>
      </c>
      <c r="M139" s="5">
        <v>2069.67</v>
      </c>
      <c r="N139" s="5" t="s">
        <v>51</v>
      </c>
    </row>
    <row r="140" spans="1:14" x14ac:dyDescent="0.3">
      <c r="A140" s="5">
        <v>1139</v>
      </c>
      <c r="B140" s="6">
        <v>45312</v>
      </c>
      <c r="C140" s="5" t="s">
        <v>17</v>
      </c>
      <c r="D140" s="5" t="s">
        <v>20</v>
      </c>
      <c r="E140" s="5" t="s">
        <v>28</v>
      </c>
      <c r="F140" s="5" t="s">
        <v>30</v>
      </c>
      <c r="G140" s="5" t="s">
        <v>35</v>
      </c>
      <c r="H140" s="5" t="s">
        <v>45</v>
      </c>
      <c r="I140" s="5">
        <v>7</v>
      </c>
      <c r="J140" s="5">
        <v>39092</v>
      </c>
      <c r="K140" s="5">
        <v>273644</v>
      </c>
      <c r="L140" s="5">
        <v>191581.57</v>
      </c>
      <c r="M140" s="5">
        <v>82062.429999999993</v>
      </c>
      <c r="N140" s="5" t="s">
        <v>50</v>
      </c>
    </row>
    <row r="141" spans="1:14" x14ac:dyDescent="0.3">
      <c r="A141" s="5">
        <v>1140</v>
      </c>
      <c r="B141" s="6">
        <v>45427</v>
      </c>
      <c r="C141" s="5" t="s">
        <v>14</v>
      </c>
      <c r="D141" s="5" t="s">
        <v>20</v>
      </c>
      <c r="E141" s="5" t="s">
        <v>20</v>
      </c>
      <c r="F141" s="5" t="s">
        <v>31</v>
      </c>
      <c r="G141" s="5" t="s">
        <v>43</v>
      </c>
      <c r="H141" s="5" t="s">
        <v>44</v>
      </c>
      <c r="I141" s="5">
        <v>2</v>
      </c>
      <c r="J141" s="5">
        <v>33955</v>
      </c>
      <c r="K141" s="5">
        <v>67910</v>
      </c>
      <c r="L141" s="5">
        <v>51496.57</v>
      </c>
      <c r="M141" s="5">
        <v>16413.43</v>
      </c>
      <c r="N141" s="5" t="s">
        <v>50</v>
      </c>
    </row>
    <row r="142" spans="1:14" x14ac:dyDescent="0.3">
      <c r="A142" s="5">
        <v>1141</v>
      </c>
      <c r="B142" s="6">
        <v>45446</v>
      </c>
      <c r="C142" s="5" t="s">
        <v>14</v>
      </c>
      <c r="D142" s="5" t="s">
        <v>18</v>
      </c>
      <c r="E142" s="5" t="s">
        <v>24</v>
      </c>
      <c r="F142" s="5" t="s">
        <v>30</v>
      </c>
      <c r="G142" s="5" t="s">
        <v>42</v>
      </c>
      <c r="H142" s="5" t="s">
        <v>47</v>
      </c>
      <c r="I142" s="5">
        <v>3</v>
      </c>
      <c r="J142" s="5">
        <v>17275</v>
      </c>
      <c r="K142" s="5">
        <v>51825</v>
      </c>
      <c r="L142" s="5">
        <v>33650.9</v>
      </c>
      <c r="M142" s="5">
        <v>18174.099999999999</v>
      </c>
      <c r="N142" s="5" t="s">
        <v>51</v>
      </c>
    </row>
    <row r="143" spans="1:14" x14ac:dyDescent="0.3">
      <c r="A143" s="5">
        <v>1142</v>
      </c>
      <c r="B143" s="6">
        <v>45451</v>
      </c>
      <c r="C143" s="5" t="s">
        <v>16</v>
      </c>
      <c r="D143" s="5" t="s">
        <v>18</v>
      </c>
      <c r="E143" s="5" t="s">
        <v>20</v>
      </c>
      <c r="F143" s="5" t="s">
        <v>31</v>
      </c>
      <c r="G143" s="5" t="s">
        <v>41</v>
      </c>
      <c r="H143" s="5" t="s">
        <v>47</v>
      </c>
      <c r="I143" s="5">
        <v>10</v>
      </c>
      <c r="J143" s="5">
        <v>42639</v>
      </c>
      <c r="K143" s="5">
        <v>426390</v>
      </c>
      <c r="L143" s="5">
        <v>323555.21000000002</v>
      </c>
      <c r="M143" s="5">
        <v>102834.79</v>
      </c>
      <c r="N143" s="5" t="s">
        <v>51</v>
      </c>
    </row>
    <row r="144" spans="1:14" x14ac:dyDescent="0.3">
      <c r="A144" s="5">
        <v>1143</v>
      </c>
      <c r="B144" s="6">
        <v>45362</v>
      </c>
      <c r="C144" s="5" t="s">
        <v>15</v>
      </c>
      <c r="D144" s="5" t="s">
        <v>20</v>
      </c>
      <c r="E144" s="5" t="s">
        <v>27</v>
      </c>
      <c r="F144" s="5" t="s">
        <v>30</v>
      </c>
      <c r="G144" s="5" t="s">
        <v>34</v>
      </c>
      <c r="H144" s="5" t="s">
        <v>48</v>
      </c>
      <c r="I144" s="5">
        <v>8</v>
      </c>
      <c r="J144" s="5">
        <v>41878</v>
      </c>
      <c r="K144" s="5">
        <v>335024</v>
      </c>
      <c r="L144" s="5">
        <v>226377.43</v>
      </c>
      <c r="M144" s="5">
        <v>108646.57</v>
      </c>
      <c r="N144" s="5" t="s">
        <v>51</v>
      </c>
    </row>
    <row r="145" spans="1:14" x14ac:dyDescent="0.3">
      <c r="A145" s="5">
        <v>1144</v>
      </c>
      <c r="B145" s="6">
        <v>45365</v>
      </c>
      <c r="C145" s="5" t="s">
        <v>15</v>
      </c>
      <c r="D145" s="5" t="s">
        <v>18</v>
      </c>
      <c r="E145" s="5" t="s">
        <v>24</v>
      </c>
      <c r="F145" s="5" t="s">
        <v>31</v>
      </c>
      <c r="G145" s="5" t="s">
        <v>41</v>
      </c>
      <c r="H145" s="5" t="s">
        <v>49</v>
      </c>
      <c r="I145" s="5">
        <v>1</v>
      </c>
      <c r="J145" s="5">
        <v>4228</v>
      </c>
      <c r="K145" s="5">
        <v>4228</v>
      </c>
      <c r="L145" s="5">
        <v>2926.56</v>
      </c>
      <c r="M145" s="5">
        <v>1301.44</v>
      </c>
      <c r="N145" s="5" t="s">
        <v>51</v>
      </c>
    </row>
    <row r="146" spans="1:14" x14ac:dyDescent="0.3">
      <c r="A146" s="5">
        <v>1145</v>
      </c>
      <c r="B146" s="6">
        <v>45340</v>
      </c>
      <c r="C146" s="5" t="s">
        <v>16</v>
      </c>
      <c r="D146" s="5" t="s">
        <v>19</v>
      </c>
      <c r="E146" s="5" t="s">
        <v>26</v>
      </c>
      <c r="F146" s="5" t="s">
        <v>31</v>
      </c>
      <c r="G146" s="5" t="s">
        <v>39</v>
      </c>
      <c r="H146" s="5" t="s">
        <v>49</v>
      </c>
      <c r="I146" s="5">
        <v>8</v>
      </c>
      <c r="J146" s="5">
        <v>53572</v>
      </c>
      <c r="K146" s="5">
        <v>428576</v>
      </c>
      <c r="L146" s="5">
        <v>318395.18</v>
      </c>
      <c r="M146" s="5">
        <v>110180.82</v>
      </c>
      <c r="N146" s="5" t="s">
        <v>50</v>
      </c>
    </row>
    <row r="147" spans="1:14" x14ac:dyDescent="0.3">
      <c r="A147" s="5">
        <v>1146</v>
      </c>
      <c r="B147" s="6">
        <v>45379</v>
      </c>
      <c r="C147" s="5" t="s">
        <v>15</v>
      </c>
      <c r="D147" s="5" t="s">
        <v>19</v>
      </c>
      <c r="E147" s="5" t="s">
        <v>28</v>
      </c>
      <c r="F147" s="5" t="s">
        <v>30</v>
      </c>
      <c r="G147" s="5" t="s">
        <v>34</v>
      </c>
      <c r="H147" s="5" t="s">
        <v>47</v>
      </c>
      <c r="I147" s="5">
        <v>2</v>
      </c>
      <c r="J147" s="5">
        <v>53647</v>
      </c>
      <c r="K147" s="5">
        <v>107294</v>
      </c>
      <c r="L147" s="5">
        <v>88494.13</v>
      </c>
      <c r="M147" s="5">
        <v>18799.87</v>
      </c>
      <c r="N147" s="5" t="s">
        <v>50</v>
      </c>
    </row>
    <row r="148" spans="1:14" x14ac:dyDescent="0.3">
      <c r="A148" s="5">
        <v>1147</v>
      </c>
      <c r="B148" s="6">
        <v>45332</v>
      </c>
      <c r="C148" s="5" t="s">
        <v>16</v>
      </c>
      <c r="D148" s="5" t="s">
        <v>20</v>
      </c>
      <c r="E148" s="5" t="s">
        <v>20</v>
      </c>
      <c r="F148" s="5" t="s">
        <v>30</v>
      </c>
      <c r="G148" s="5" t="s">
        <v>34</v>
      </c>
      <c r="H148" s="5" t="s">
        <v>46</v>
      </c>
      <c r="I148" s="5">
        <v>8</v>
      </c>
      <c r="J148" s="5">
        <v>34845</v>
      </c>
      <c r="K148" s="5">
        <v>278760</v>
      </c>
      <c r="L148" s="5">
        <v>203686.31</v>
      </c>
      <c r="M148" s="5">
        <v>75073.69</v>
      </c>
      <c r="N148" s="5" t="s">
        <v>51</v>
      </c>
    </row>
    <row r="149" spans="1:14" x14ac:dyDescent="0.3">
      <c r="A149" s="5">
        <v>1148</v>
      </c>
      <c r="B149" s="6">
        <v>45434</v>
      </c>
      <c r="C149" s="5" t="s">
        <v>17</v>
      </c>
      <c r="D149" s="5" t="s">
        <v>20</v>
      </c>
      <c r="E149" s="5" t="s">
        <v>20</v>
      </c>
      <c r="F149" s="5" t="s">
        <v>31</v>
      </c>
      <c r="G149" s="5" t="s">
        <v>39</v>
      </c>
      <c r="H149" s="5" t="s">
        <v>44</v>
      </c>
      <c r="I149" s="5">
        <v>6</v>
      </c>
      <c r="J149" s="5">
        <v>4819</v>
      </c>
      <c r="K149" s="5">
        <v>28914</v>
      </c>
      <c r="L149" s="5">
        <v>19731.57</v>
      </c>
      <c r="M149" s="5">
        <v>9182.43</v>
      </c>
      <c r="N149" s="5" t="s">
        <v>50</v>
      </c>
    </row>
    <row r="150" spans="1:14" x14ac:dyDescent="0.3">
      <c r="A150" s="5">
        <v>1149</v>
      </c>
      <c r="B150" s="6">
        <v>45381</v>
      </c>
      <c r="C150" s="5" t="s">
        <v>16</v>
      </c>
      <c r="D150" s="5" t="s">
        <v>18</v>
      </c>
      <c r="E150" s="5" t="s">
        <v>28</v>
      </c>
      <c r="F150" s="5" t="s">
        <v>31</v>
      </c>
      <c r="G150" s="5" t="s">
        <v>39</v>
      </c>
      <c r="H150" s="5" t="s">
        <v>44</v>
      </c>
      <c r="I150" s="5">
        <v>10</v>
      </c>
      <c r="J150" s="5">
        <v>43990</v>
      </c>
      <c r="K150" s="5">
        <v>439900</v>
      </c>
      <c r="L150" s="5">
        <v>279493.59000000003</v>
      </c>
      <c r="M150" s="5">
        <v>160406.41</v>
      </c>
      <c r="N150" s="5" t="s">
        <v>51</v>
      </c>
    </row>
    <row r="151" spans="1:14" x14ac:dyDescent="0.3">
      <c r="A151" s="5">
        <v>1150</v>
      </c>
      <c r="B151" s="6">
        <v>45376</v>
      </c>
      <c r="C151" s="5" t="s">
        <v>14</v>
      </c>
      <c r="D151" s="5" t="s">
        <v>18</v>
      </c>
      <c r="E151" s="5" t="s">
        <v>28</v>
      </c>
      <c r="F151" s="5" t="s">
        <v>30</v>
      </c>
      <c r="G151" s="5" t="s">
        <v>42</v>
      </c>
      <c r="H151" s="5" t="s">
        <v>44</v>
      </c>
      <c r="I151" s="5">
        <v>5</v>
      </c>
      <c r="J151" s="5">
        <v>37129</v>
      </c>
      <c r="K151" s="5">
        <v>185645</v>
      </c>
      <c r="L151" s="5">
        <v>128869.16</v>
      </c>
      <c r="M151" s="5">
        <v>56775.839999999997</v>
      </c>
      <c r="N151" s="5" t="s">
        <v>50</v>
      </c>
    </row>
    <row r="152" spans="1:14" x14ac:dyDescent="0.3">
      <c r="A152" s="5">
        <v>1151</v>
      </c>
      <c r="B152" s="6">
        <v>45371</v>
      </c>
      <c r="C152" s="5" t="s">
        <v>14</v>
      </c>
      <c r="D152" s="5" t="s">
        <v>21</v>
      </c>
      <c r="E152" s="5" t="s">
        <v>20</v>
      </c>
      <c r="F152" s="5" t="s">
        <v>29</v>
      </c>
      <c r="G152" s="5" t="s">
        <v>33</v>
      </c>
      <c r="H152" s="5" t="s">
        <v>46</v>
      </c>
      <c r="I152" s="5">
        <v>9</v>
      </c>
      <c r="J152" s="5">
        <v>24212</v>
      </c>
      <c r="K152" s="5">
        <v>217908</v>
      </c>
      <c r="L152" s="5">
        <v>131737.95000000001</v>
      </c>
      <c r="M152" s="5">
        <v>86170.05</v>
      </c>
      <c r="N152" s="5" t="s">
        <v>50</v>
      </c>
    </row>
    <row r="153" spans="1:14" x14ac:dyDescent="0.3">
      <c r="A153" s="5">
        <v>1152</v>
      </c>
      <c r="B153" s="6">
        <v>45317</v>
      </c>
      <c r="C153" s="5" t="s">
        <v>15</v>
      </c>
      <c r="D153" s="5" t="s">
        <v>18</v>
      </c>
      <c r="E153" s="5" t="s">
        <v>20</v>
      </c>
      <c r="F153" s="5" t="s">
        <v>30</v>
      </c>
      <c r="G153" s="5" t="s">
        <v>35</v>
      </c>
      <c r="H153" s="5" t="s">
        <v>49</v>
      </c>
      <c r="I153" s="5">
        <v>3</v>
      </c>
      <c r="J153" s="5">
        <v>5557</v>
      </c>
      <c r="K153" s="5">
        <v>16671</v>
      </c>
      <c r="L153" s="5">
        <v>11235.39</v>
      </c>
      <c r="M153" s="5">
        <v>5435.61</v>
      </c>
      <c r="N153" s="5" t="s">
        <v>50</v>
      </c>
    </row>
    <row r="154" spans="1:14" x14ac:dyDescent="0.3">
      <c r="A154" s="5">
        <v>1153</v>
      </c>
      <c r="B154" s="6">
        <v>45469</v>
      </c>
      <c r="C154" s="5" t="s">
        <v>14</v>
      </c>
      <c r="D154" s="5" t="s">
        <v>18</v>
      </c>
      <c r="E154" s="5" t="s">
        <v>26</v>
      </c>
      <c r="F154" s="5" t="s">
        <v>29</v>
      </c>
      <c r="G154" s="5" t="s">
        <v>33</v>
      </c>
      <c r="H154" s="5" t="s">
        <v>48</v>
      </c>
      <c r="I154" s="5">
        <v>3</v>
      </c>
      <c r="J154" s="5">
        <v>11133</v>
      </c>
      <c r="K154" s="5">
        <v>33399</v>
      </c>
      <c r="L154" s="5">
        <v>21549.42</v>
      </c>
      <c r="M154" s="5">
        <v>11849.58</v>
      </c>
      <c r="N154" s="5" t="s">
        <v>51</v>
      </c>
    </row>
    <row r="155" spans="1:14" x14ac:dyDescent="0.3">
      <c r="A155" s="5">
        <v>1154</v>
      </c>
      <c r="B155" s="6">
        <v>45406</v>
      </c>
      <c r="C155" s="5" t="s">
        <v>14</v>
      </c>
      <c r="D155" s="5" t="s">
        <v>19</v>
      </c>
      <c r="E155" s="5" t="s">
        <v>25</v>
      </c>
      <c r="F155" s="5" t="s">
        <v>31</v>
      </c>
      <c r="G155" s="5" t="s">
        <v>43</v>
      </c>
      <c r="H155" s="5" t="s">
        <v>45</v>
      </c>
      <c r="I155" s="5">
        <v>8</v>
      </c>
      <c r="J155" s="5">
        <v>40515</v>
      </c>
      <c r="K155" s="5">
        <v>324120</v>
      </c>
      <c r="L155" s="5">
        <v>217559.71</v>
      </c>
      <c r="M155" s="5">
        <v>106560.29</v>
      </c>
      <c r="N155" s="5" t="s">
        <v>51</v>
      </c>
    </row>
    <row r="156" spans="1:14" x14ac:dyDescent="0.3">
      <c r="A156" s="5">
        <v>1155</v>
      </c>
      <c r="B156" s="6">
        <v>45364</v>
      </c>
      <c r="C156" s="5" t="s">
        <v>17</v>
      </c>
      <c r="D156" s="5" t="s">
        <v>19</v>
      </c>
      <c r="E156" s="5" t="s">
        <v>27</v>
      </c>
      <c r="F156" s="5" t="s">
        <v>30</v>
      </c>
      <c r="G156" s="5" t="s">
        <v>40</v>
      </c>
      <c r="H156" s="5" t="s">
        <v>46</v>
      </c>
      <c r="I156" s="5">
        <v>10</v>
      </c>
      <c r="J156" s="5">
        <v>29374</v>
      </c>
      <c r="K156" s="5">
        <v>293740</v>
      </c>
      <c r="L156" s="5">
        <v>210147.47</v>
      </c>
      <c r="M156" s="5">
        <v>83592.53</v>
      </c>
      <c r="N156" s="5" t="s">
        <v>50</v>
      </c>
    </row>
    <row r="157" spans="1:14" x14ac:dyDescent="0.3">
      <c r="A157" s="5">
        <v>1156</v>
      </c>
      <c r="B157" s="6">
        <v>45387</v>
      </c>
      <c r="C157" s="5" t="s">
        <v>15</v>
      </c>
      <c r="D157" s="5" t="s">
        <v>18</v>
      </c>
      <c r="E157" s="5" t="s">
        <v>27</v>
      </c>
      <c r="F157" s="5" t="s">
        <v>30</v>
      </c>
      <c r="G157" s="5" t="s">
        <v>35</v>
      </c>
      <c r="H157" s="5" t="s">
        <v>48</v>
      </c>
      <c r="I157" s="5">
        <v>5</v>
      </c>
      <c r="J157" s="5">
        <v>3919</v>
      </c>
      <c r="K157" s="5">
        <v>19595</v>
      </c>
      <c r="L157" s="5">
        <v>14897.98</v>
      </c>
      <c r="M157" s="5">
        <v>4697.0200000000004</v>
      </c>
      <c r="N157" s="5" t="s">
        <v>51</v>
      </c>
    </row>
    <row r="158" spans="1:14" x14ac:dyDescent="0.3">
      <c r="A158" s="5">
        <v>1157</v>
      </c>
      <c r="B158" s="6">
        <v>45329</v>
      </c>
      <c r="C158" s="5" t="s">
        <v>17</v>
      </c>
      <c r="D158" s="5" t="s">
        <v>22</v>
      </c>
      <c r="E158" s="5" t="s">
        <v>25</v>
      </c>
      <c r="F158" s="5" t="s">
        <v>30</v>
      </c>
      <c r="G158" s="5" t="s">
        <v>35</v>
      </c>
      <c r="H158" s="5" t="s">
        <v>46</v>
      </c>
      <c r="I158" s="5">
        <v>5</v>
      </c>
      <c r="J158" s="5">
        <v>29946</v>
      </c>
      <c r="K158" s="5">
        <v>149730</v>
      </c>
      <c r="L158" s="5">
        <v>123725.87</v>
      </c>
      <c r="M158" s="5">
        <v>26004.13</v>
      </c>
      <c r="N158" s="5" t="s">
        <v>51</v>
      </c>
    </row>
    <row r="159" spans="1:14" x14ac:dyDescent="0.3">
      <c r="A159" s="5">
        <v>1158</v>
      </c>
      <c r="B159" s="6">
        <v>45352</v>
      </c>
      <c r="C159" s="5" t="s">
        <v>17</v>
      </c>
      <c r="D159" s="5" t="s">
        <v>22</v>
      </c>
      <c r="E159" s="5" t="s">
        <v>20</v>
      </c>
      <c r="F159" s="5" t="s">
        <v>30</v>
      </c>
      <c r="G159" s="5" t="s">
        <v>34</v>
      </c>
      <c r="H159" s="5" t="s">
        <v>47</v>
      </c>
      <c r="I159" s="5">
        <v>1</v>
      </c>
      <c r="J159" s="5">
        <v>26482</v>
      </c>
      <c r="K159" s="5">
        <v>26482</v>
      </c>
      <c r="L159" s="5">
        <v>19212.740000000002</v>
      </c>
      <c r="M159" s="5">
        <v>7269.26</v>
      </c>
      <c r="N159" s="5" t="s">
        <v>50</v>
      </c>
    </row>
    <row r="160" spans="1:14" x14ac:dyDescent="0.3">
      <c r="A160" s="5">
        <v>1159</v>
      </c>
      <c r="B160" s="6">
        <v>45301</v>
      </c>
      <c r="C160" s="5" t="s">
        <v>16</v>
      </c>
      <c r="D160" s="5" t="s">
        <v>23</v>
      </c>
      <c r="E160" s="5" t="s">
        <v>28</v>
      </c>
      <c r="F160" s="5" t="s">
        <v>31</v>
      </c>
      <c r="G160" s="5" t="s">
        <v>39</v>
      </c>
      <c r="H160" s="5" t="s">
        <v>47</v>
      </c>
      <c r="I160" s="5">
        <v>6</v>
      </c>
      <c r="J160" s="5">
        <v>52363</v>
      </c>
      <c r="K160" s="5">
        <v>314178</v>
      </c>
      <c r="L160" s="5">
        <v>199978.17</v>
      </c>
      <c r="M160" s="5">
        <v>114199.83</v>
      </c>
      <c r="N160" s="5" t="s">
        <v>51</v>
      </c>
    </row>
    <row r="161" spans="1:14" x14ac:dyDescent="0.3">
      <c r="A161" s="5">
        <v>1160</v>
      </c>
      <c r="B161" s="6">
        <v>45330</v>
      </c>
      <c r="C161" s="5" t="s">
        <v>17</v>
      </c>
      <c r="D161" s="5" t="s">
        <v>22</v>
      </c>
      <c r="E161" s="5" t="s">
        <v>20</v>
      </c>
      <c r="F161" s="5" t="s">
        <v>31</v>
      </c>
      <c r="G161" s="5" t="s">
        <v>39</v>
      </c>
      <c r="H161" s="5" t="s">
        <v>47</v>
      </c>
      <c r="I161" s="5">
        <v>2</v>
      </c>
      <c r="J161" s="5">
        <v>1745</v>
      </c>
      <c r="K161" s="5">
        <v>3490</v>
      </c>
      <c r="L161" s="5">
        <v>2317.29</v>
      </c>
      <c r="M161" s="5">
        <v>1172.71</v>
      </c>
      <c r="N161" s="5" t="s">
        <v>51</v>
      </c>
    </row>
    <row r="162" spans="1:14" x14ac:dyDescent="0.3">
      <c r="A162" s="5">
        <v>1161</v>
      </c>
      <c r="B162" s="6">
        <v>45451</v>
      </c>
      <c r="C162" s="5" t="s">
        <v>17</v>
      </c>
      <c r="D162" s="5" t="s">
        <v>22</v>
      </c>
      <c r="E162" s="5" t="s">
        <v>24</v>
      </c>
      <c r="F162" s="5" t="s">
        <v>30</v>
      </c>
      <c r="G162" s="5" t="s">
        <v>42</v>
      </c>
      <c r="H162" s="5" t="s">
        <v>46</v>
      </c>
      <c r="I162" s="5">
        <v>4</v>
      </c>
      <c r="J162" s="5">
        <v>28013</v>
      </c>
      <c r="K162" s="5">
        <v>112052</v>
      </c>
      <c r="L162" s="5">
        <v>85130.15</v>
      </c>
      <c r="M162" s="5">
        <v>26921.85</v>
      </c>
      <c r="N162" s="5" t="s">
        <v>50</v>
      </c>
    </row>
    <row r="163" spans="1:14" x14ac:dyDescent="0.3">
      <c r="A163" s="5">
        <v>1162</v>
      </c>
      <c r="B163" s="6">
        <v>45449</v>
      </c>
      <c r="C163" s="5" t="s">
        <v>16</v>
      </c>
      <c r="D163" s="5" t="s">
        <v>21</v>
      </c>
      <c r="E163" s="5" t="s">
        <v>27</v>
      </c>
      <c r="F163" s="5" t="s">
        <v>29</v>
      </c>
      <c r="G163" s="5" t="s">
        <v>36</v>
      </c>
      <c r="H163" s="5" t="s">
        <v>46</v>
      </c>
      <c r="I163" s="5">
        <v>3</v>
      </c>
      <c r="J163" s="5">
        <v>19588</v>
      </c>
      <c r="K163" s="5">
        <v>58764</v>
      </c>
      <c r="L163" s="5">
        <v>41564.35</v>
      </c>
      <c r="M163" s="5">
        <v>17199.650000000001</v>
      </c>
      <c r="N163" s="5" t="s">
        <v>50</v>
      </c>
    </row>
    <row r="164" spans="1:14" x14ac:dyDescent="0.3">
      <c r="A164" s="5">
        <v>1163</v>
      </c>
      <c r="B164" s="6">
        <v>45426</v>
      </c>
      <c r="C164" s="5" t="s">
        <v>15</v>
      </c>
      <c r="D164" s="5" t="s">
        <v>23</v>
      </c>
      <c r="E164" s="5" t="s">
        <v>26</v>
      </c>
      <c r="F164" s="5" t="s">
        <v>29</v>
      </c>
      <c r="G164" s="5" t="s">
        <v>32</v>
      </c>
      <c r="H164" s="5" t="s">
        <v>48</v>
      </c>
      <c r="I164" s="5">
        <v>9</v>
      </c>
      <c r="J164" s="5">
        <v>24132</v>
      </c>
      <c r="K164" s="5">
        <v>217188</v>
      </c>
      <c r="L164" s="5">
        <v>133987.57999999999</v>
      </c>
      <c r="M164" s="5">
        <v>83200.42</v>
      </c>
      <c r="N164" s="5" t="s">
        <v>51</v>
      </c>
    </row>
    <row r="165" spans="1:14" x14ac:dyDescent="0.3">
      <c r="A165" s="5">
        <v>1164</v>
      </c>
      <c r="B165" s="6">
        <v>45380</v>
      </c>
      <c r="C165" s="5" t="s">
        <v>14</v>
      </c>
      <c r="D165" s="5" t="s">
        <v>18</v>
      </c>
      <c r="E165" s="5" t="s">
        <v>28</v>
      </c>
      <c r="F165" s="5" t="s">
        <v>31</v>
      </c>
      <c r="G165" s="5" t="s">
        <v>37</v>
      </c>
      <c r="H165" s="5" t="s">
        <v>44</v>
      </c>
      <c r="I165" s="5">
        <v>1</v>
      </c>
      <c r="J165" s="5">
        <v>23902</v>
      </c>
      <c r="K165" s="5">
        <v>23902</v>
      </c>
      <c r="L165" s="5">
        <v>19053</v>
      </c>
      <c r="M165" s="5">
        <v>4849</v>
      </c>
      <c r="N165" s="5" t="s">
        <v>50</v>
      </c>
    </row>
    <row r="166" spans="1:14" x14ac:dyDescent="0.3">
      <c r="A166" s="5">
        <v>1165</v>
      </c>
      <c r="B166" s="6">
        <v>45378</v>
      </c>
      <c r="C166" s="5" t="s">
        <v>14</v>
      </c>
      <c r="D166" s="5" t="s">
        <v>18</v>
      </c>
      <c r="E166" s="5" t="s">
        <v>26</v>
      </c>
      <c r="F166" s="5" t="s">
        <v>29</v>
      </c>
      <c r="G166" s="5" t="s">
        <v>38</v>
      </c>
      <c r="H166" s="5" t="s">
        <v>44</v>
      </c>
      <c r="I166" s="5">
        <v>3</v>
      </c>
      <c r="J166" s="5">
        <v>3405</v>
      </c>
      <c r="K166" s="5">
        <v>10215</v>
      </c>
      <c r="L166" s="5">
        <v>7028.68</v>
      </c>
      <c r="M166" s="5">
        <v>3186.32</v>
      </c>
      <c r="N166" s="5" t="s">
        <v>51</v>
      </c>
    </row>
    <row r="167" spans="1:14" x14ac:dyDescent="0.3">
      <c r="A167" s="5">
        <v>1166</v>
      </c>
      <c r="B167" s="6">
        <v>45409</v>
      </c>
      <c r="C167" s="5" t="s">
        <v>15</v>
      </c>
      <c r="D167" s="5" t="s">
        <v>20</v>
      </c>
      <c r="E167" s="5" t="s">
        <v>25</v>
      </c>
      <c r="F167" s="5" t="s">
        <v>29</v>
      </c>
      <c r="G167" s="5" t="s">
        <v>36</v>
      </c>
      <c r="H167" s="5" t="s">
        <v>48</v>
      </c>
      <c r="I167" s="5">
        <v>3</v>
      </c>
      <c r="J167" s="5">
        <v>4635</v>
      </c>
      <c r="K167" s="5">
        <v>13905</v>
      </c>
      <c r="L167" s="5">
        <v>10832.15</v>
      </c>
      <c r="M167" s="5">
        <v>3072.85</v>
      </c>
      <c r="N167" s="5" t="s">
        <v>50</v>
      </c>
    </row>
    <row r="168" spans="1:14" x14ac:dyDescent="0.3">
      <c r="A168" s="5">
        <v>1167</v>
      </c>
      <c r="B168" s="6">
        <v>45431</v>
      </c>
      <c r="C168" s="5" t="s">
        <v>17</v>
      </c>
      <c r="D168" s="5" t="s">
        <v>20</v>
      </c>
      <c r="E168" s="5" t="s">
        <v>24</v>
      </c>
      <c r="F168" s="5" t="s">
        <v>30</v>
      </c>
      <c r="G168" s="5" t="s">
        <v>40</v>
      </c>
      <c r="H168" s="5" t="s">
        <v>44</v>
      </c>
      <c r="I168" s="5">
        <v>5</v>
      </c>
      <c r="J168" s="5">
        <v>34276</v>
      </c>
      <c r="K168" s="5">
        <v>171380</v>
      </c>
      <c r="L168" s="5">
        <v>119889.91</v>
      </c>
      <c r="M168" s="5">
        <v>51490.09</v>
      </c>
      <c r="N168" s="5" t="s">
        <v>50</v>
      </c>
    </row>
    <row r="169" spans="1:14" x14ac:dyDescent="0.3">
      <c r="A169" s="5">
        <v>1168</v>
      </c>
      <c r="B169" s="6">
        <v>45361</v>
      </c>
      <c r="C169" s="5" t="s">
        <v>15</v>
      </c>
      <c r="D169" s="5" t="s">
        <v>20</v>
      </c>
      <c r="E169" s="5" t="s">
        <v>26</v>
      </c>
      <c r="F169" s="5" t="s">
        <v>31</v>
      </c>
      <c r="G169" s="5" t="s">
        <v>37</v>
      </c>
      <c r="H169" s="5" t="s">
        <v>46</v>
      </c>
      <c r="I169" s="5">
        <v>1</v>
      </c>
      <c r="J169" s="5">
        <v>57240</v>
      </c>
      <c r="K169" s="5">
        <v>57240</v>
      </c>
      <c r="L169" s="5">
        <v>43727.519999999997</v>
      </c>
      <c r="M169" s="5">
        <v>13512.48</v>
      </c>
      <c r="N169" s="5" t="s">
        <v>51</v>
      </c>
    </row>
    <row r="170" spans="1:14" x14ac:dyDescent="0.3">
      <c r="A170" s="5">
        <v>1169</v>
      </c>
      <c r="B170" s="6">
        <v>45386</v>
      </c>
      <c r="C170" s="5" t="s">
        <v>16</v>
      </c>
      <c r="D170" s="5" t="s">
        <v>22</v>
      </c>
      <c r="E170" s="5" t="s">
        <v>28</v>
      </c>
      <c r="F170" s="5" t="s">
        <v>31</v>
      </c>
      <c r="G170" s="5" t="s">
        <v>37</v>
      </c>
      <c r="H170" s="5" t="s">
        <v>46</v>
      </c>
      <c r="I170" s="5">
        <v>3</v>
      </c>
      <c r="J170" s="5">
        <v>33019</v>
      </c>
      <c r="K170" s="5">
        <v>99057</v>
      </c>
      <c r="L170" s="5">
        <v>76572.759999999995</v>
      </c>
      <c r="M170" s="5">
        <v>22484.240000000002</v>
      </c>
      <c r="N170" s="5" t="s">
        <v>50</v>
      </c>
    </row>
    <row r="171" spans="1:14" x14ac:dyDescent="0.3">
      <c r="A171" s="5">
        <v>1170</v>
      </c>
      <c r="B171" s="6">
        <v>45312</v>
      </c>
      <c r="C171" s="5" t="s">
        <v>16</v>
      </c>
      <c r="D171" s="5" t="s">
        <v>18</v>
      </c>
      <c r="E171" s="5" t="s">
        <v>20</v>
      </c>
      <c r="F171" s="5" t="s">
        <v>31</v>
      </c>
      <c r="G171" s="5" t="s">
        <v>43</v>
      </c>
      <c r="H171" s="5" t="s">
        <v>45</v>
      </c>
      <c r="I171" s="5">
        <v>9</v>
      </c>
      <c r="J171" s="5">
        <v>19752</v>
      </c>
      <c r="K171" s="5">
        <v>177768</v>
      </c>
      <c r="L171" s="5">
        <v>120936.08</v>
      </c>
      <c r="M171" s="5">
        <v>56831.92</v>
      </c>
      <c r="N171" s="5" t="s">
        <v>51</v>
      </c>
    </row>
    <row r="172" spans="1:14" x14ac:dyDescent="0.3">
      <c r="A172" s="5">
        <v>1171</v>
      </c>
      <c r="B172" s="6">
        <v>45406</v>
      </c>
      <c r="C172" s="5" t="s">
        <v>15</v>
      </c>
      <c r="D172" s="5" t="s">
        <v>18</v>
      </c>
      <c r="E172" s="5" t="s">
        <v>20</v>
      </c>
      <c r="F172" s="5" t="s">
        <v>29</v>
      </c>
      <c r="G172" s="5" t="s">
        <v>33</v>
      </c>
      <c r="H172" s="5" t="s">
        <v>49</v>
      </c>
      <c r="I172" s="5">
        <v>3</v>
      </c>
      <c r="J172" s="5">
        <v>45704</v>
      </c>
      <c r="K172" s="5">
        <v>137112</v>
      </c>
      <c r="L172" s="5">
        <v>97483.49</v>
      </c>
      <c r="M172" s="5">
        <v>39628.51</v>
      </c>
      <c r="N172" s="5" t="s">
        <v>51</v>
      </c>
    </row>
    <row r="173" spans="1:14" x14ac:dyDescent="0.3">
      <c r="A173" s="5">
        <v>1172</v>
      </c>
      <c r="B173" s="6">
        <v>45385</v>
      </c>
      <c r="C173" s="5" t="s">
        <v>14</v>
      </c>
      <c r="D173" s="5" t="s">
        <v>22</v>
      </c>
      <c r="E173" s="5" t="s">
        <v>25</v>
      </c>
      <c r="F173" s="5" t="s">
        <v>31</v>
      </c>
      <c r="G173" s="5" t="s">
        <v>39</v>
      </c>
      <c r="H173" s="5" t="s">
        <v>49</v>
      </c>
      <c r="I173" s="5">
        <v>2</v>
      </c>
      <c r="J173" s="5">
        <v>44486</v>
      </c>
      <c r="K173" s="5">
        <v>88972</v>
      </c>
      <c r="L173" s="5">
        <v>67563.39</v>
      </c>
      <c r="M173" s="5">
        <v>21408.61</v>
      </c>
      <c r="N173" s="5" t="s">
        <v>51</v>
      </c>
    </row>
    <row r="174" spans="1:14" x14ac:dyDescent="0.3">
      <c r="A174" s="5">
        <v>1173</v>
      </c>
      <c r="B174" s="6">
        <v>45385</v>
      </c>
      <c r="C174" s="5" t="s">
        <v>16</v>
      </c>
      <c r="D174" s="5" t="s">
        <v>23</v>
      </c>
      <c r="E174" s="5" t="s">
        <v>27</v>
      </c>
      <c r="F174" s="5" t="s">
        <v>30</v>
      </c>
      <c r="G174" s="5" t="s">
        <v>35</v>
      </c>
      <c r="H174" s="5" t="s">
        <v>48</v>
      </c>
      <c r="I174" s="5">
        <v>2</v>
      </c>
      <c r="J174" s="5">
        <v>15966</v>
      </c>
      <c r="K174" s="5">
        <v>31932</v>
      </c>
      <c r="L174" s="5">
        <v>25374.09</v>
      </c>
      <c r="M174" s="5">
        <v>6557.91</v>
      </c>
      <c r="N174" s="5" t="s">
        <v>50</v>
      </c>
    </row>
    <row r="175" spans="1:14" x14ac:dyDescent="0.3">
      <c r="A175" s="5">
        <v>1174</v>
      </c>
      <c r="B175" s="6">
        <v>45311</v>
      </c>
      <c r="C175" s="5" t="s">
        <v>14</v>
      </c>
      <c r="D175" s="5" t="s">
        <v>19</v>
      </c>
      <c r="E175" s="5" t="s">
        <v>20</v>
      </c>
      <c r="F175" s="5" t="s">
        <v>29</v>
      </c>
      <c r="G175" s="5" t="s">
        <v>33</v>
      </c>
      <c r="H175" s="5" t="s">
        <v>46</v>
      </c>
      <c r="I175" s="5">
        <v>6</v>
      </c>
      <c r="J175" s="5">
        <v>24880</v>
      </c>
      <c r="K175" s="5">
        <v>149280</v>
      </c>
      <c r="L175" s="5">
        <v>106135.81</v>
      </c>
      <c r="M175" s="5">
        <v>43144.19</v>
      </c>
      <c r="N175" s="5" t="s">
        <v>51</v>
      </c>
    </row>
    <row r="176" spans="1:14" x14ac:dyDescent="0.3">
      <c r="A176" s="5">
        <v>1175</v>
      </c>
      <c r="B176" s="6">
        <v>45339</v>
      </c>
      <c r="C176" s="5" t="s">
        <v>17</v>
      </c>
      <c r="D176" s="5" t="s">
        <v>19</v>
      </c>
      <c r="E176" s="5" t="s">
        <v>26</v>
      </c>
      <c r="F176" s="5" t="s">
        <v>29</v>
      </c>
      <c r="G176" s="5" t="s">
        <v>38</v>
      </c>
      <c r="H176" s="5" t="s">
        <v>49</v>
      </c>
      <c r="I176" s="5">
        <v>4</v>
      </c>
      <c r="J176" s="5">
        <v>7934</v>
      </c>
      <c r="K176" s="5">
        <v>31736</v>
      </c>
      <c r="L176" s="5">
        <v>19247.2</v>
      </c>
      <c r="M176" s="5">
        <v>12488.8</v>
      </c>
      <c r="N176" s="5" t="s">
        <v>50</v>
      </c>
    </row>
    <row r="177" spans="1:14" x14ac:dyDescent="0.3">
      <c r="A177" s="5">
        <v>1176</v>
      </c>
      <c r="B177" s="6">
        <v>45365</v>
      </c>
      <c r="C177" s="5" t="s">
        <v>17</v>
      </c>
      <c r="D177" s="5" t="s">
        <v>21</v>
      </c>
      <c r="E177" s="5" t="s">
        <v>24</v>
      </c>
      <c r="F177" s="5" t="s">
        <v>31</v>
      </c>
      <c r="G177" s="5" t="s">
        <v>37</v>
      </c>
      <c r="H177" s="5" t="s">
        <v>47</v>
      </c>
      <c r="I177" s="5">
        <v>8</v>
      </c>
      <c r="J177" s="5">
        <v>14562</v>
      </c>
      <c r="K177" s="5">
        <v>116496</v>
      </c>
      <c r="L177" s="5">
        <v>98915.74</v>
      </c>
      <c r="M177" s="5">
        <v>17580.259999999998</v>
      </c>
      <c r="N177" s="5" t="s">
        <v>50</v>
      </c>
    </row>
    <row r="178" spans="1:14" x14ac:dyDescent="0.3">
      <c r="A178" s="5">
        <v>1177</v>
      </c>
      <c r="B178" s="6">
        <v>45373</v>
      </c>
      <c r="C178" s="5" t="s">
        <v>16</v>
      </c>
      <c r="D178" s="5" t="s">
        <v>18</v>
      </c>
      <c r="E178" s="5" t="s">
        <v>24</v>
      </c>
      <c r="F178" s="5" t="s">
        <v>31</v>
      </c>
      <c r="G178" s="5" t="s">
        <v>43</v>
      </c>
      <c r="H178" s="5" t="s">
        <v>49</v>
      </c>
      <c r="I178" s="5">
        <v>8</v>
      </c>
      <c r="J178" s="5">
        <v>6253</v>
      </c>
      <c r="K178" s="5">
        <v>50024</v>
      </c>
      <c r="L178" s="5">
        <v>40150.68</v>
      </c>
      <c r="M178" s="5">
        <v>9873.32</v>
      </c>
      <c r="N178" s="5" t="s">
        <v>51</v>
      </c>
    </row>
    <row r="179" spans="1:14" x14ac:dyDescent="0.3">
      <c r="A179" s="5">
        <v>1178</v>
      </c>
      <c r="B179" s="6">
        <v>45349</v>
      </c>
      <c r="C179" s="5" t="s">
        <v>15</v>
      </c>
      <c r="D179" s="5" t="s">
        <v>21</v>
      </c>
      <c r="E179" s="5" t="s">
        <v>25</v>
      </c>
      <c r="F179" s="5" t="s">
        <v>31</v>
      </c>
      <c r="G179" s="5" t="s">
        <v>43</v>
      </c>
      <c r="H179" s="5" t="s">
        <v>47</v>
      </c>
      <c r="I179" s="5">
        <v>3</v>
      </c>
      <c r="J179" s="5">
        <v>52515</v>
      </c>
      <c r="K179" s="5">
        <v>157545</v>
      </c>
      <c r="L179" s="5">
        <v>108764.82</v>
      </c>
      <c r="M179" s="5">
        <v>48780.18</v>
      </c>
      <c r="N179" s="5" t="s">
        <v>51</v>
      </c>
    </row>
    <row r="180" spans="1:14" x14ac:dyDescent="0.3">
      <c r="A180" s="5">
        <v>1179</v>
      </c>
      <c r="B180" s="6">
        <v>45433</v>
      </c>
      <c r="C180" s="5" t="s">
        <v>14</v>
      </c>
      <c r="D180" s="5" t="s">
        <v>19</v>
      </c>
      <c r="E180" s="5" t="s">
        <v>24</v>
      </c>
      <c r="F180" s="5" t="s">
        <v>30</v>
      </c>
      <c r="G180" s="5" t="s">
        <v>40</v>
      </c>
      <c r="H180" s="5" t="s">
        <v>48</v>
      </c>
      <c r="I180" s="5">
        <v>9</v>
      </c>
      <c r="J180" s="5">
        <v>38004</v>
      </c>
      <c r="K180" s="5">
        <v>342036</v>
      </c>
      <c r="L180" s="5">
        <v>236766.82</v>
      </c>
      <c r="M180" s="5">
        <v>105269.18</v>
      </c>
      <c r="N180" s="5" t="s">
        <v>51</v>
      </c>
    </row>
    <row r="181" spans="1:14" x14ac:dyDescent="0.3">
      <c r="A181" s="5">
        <v>1180</v>
      </c>
      <c r="B181" s="6">
        <v>45439</v>
      </c>
      <c r="C181" s="5" t="s">
        <v>15</v>
      </c>
      <c r="D181" s="5" t="s">
        <v>21</v>
      </c>
      <c r="E181" s="5" t="s">
        <v>20</v>
      </c>
      <c r="F181" s="5" t="s">
        <v>31</v>
      </c>
      <c r="G181" s="5" t="s">
        <v>41</v>
      </c>
      <c r="H181" s="5" t="s">
        <v>44</v>
      </c>
      <c r="I181" s="5">
        <v>9</v>
      </c>
      <c r="J181" s="5">
        <v>27421</v>
      </c>
      <c r="K181" s="5">
        <v>246789</v>
      </c>
      <c r="L181" s="5">
        <v>195528.74</v>
      </c>
      <c r="M181" s="5">
        <v>51260.26</v>
      </c>
      <c r="N181" s="5" t="s">
        <v>50</v>
      </c>
    </row>
    <row r="182" spans="1:14" x14ac:dyDescent="0.3">
      <c r="A182" s="5">
        <v>1181</v>
      </c>
      <c r="B182" s="6">
        <v>45433</v>
      </c>
      <c r="C182" s="5" t="s">
        <v>14</v>
      </c>
      <c r="D182" s="5" t="s">
        <v>21</v>
      </c>
      <c r="E182" s="5" t="s">
        <v>26</v>
      </c>
      <c r="F182" s="5" t="s">
        <v>31</v>
      </c>
      <c r="G182" s="5" t="s">
        <v>41</v>
      </c>
      <c r="H182" s="5" t="s">
        <v>49</v>
      </c>
      <c r="I182" s="5">
        <v>9</v>
      </c>
      <c r="J182" s="5">
        <v>23078</v>
      </c>
      <c r="K182" s="5">
        <v>207702</v>
      </c>
      <c r="L182" s="5">
        <v>131285.04</v>
      </c>
      <c r="M182" s="5">
        <v>76416.960000000006</v>
      </c>
      <c r="N182" s="5" t="s">
        <v>50</v>
      </c>
    </row>
    <row r="183" spans="1:14" x14ac:dyDescent="0.3">
      <c r="A183" s="5">
        <v>1182</v>
      </c>
      <c r="B183" s="6">
        <v>45349</v>
      </c>
      <c r="C183" s="5" t="s">
        <v>16</v>
      </c>
      <c r="D183" s="5" t="s">
        <v>19</v>
      </c>
      <c r="E183" s="5" t="s">
        <v>20</v>
      </c>
      <c r="F183" s="5" t="s">
        <v>30</v>
      </c>
      <c r="G183" s="5" t="s">
        <v>35</v>
      </c>
      <c r="H183" s="5" t="s">
        <v>48</v>
      </c>
      <c r="I183" s="5">
        <v>5</v>
      </c>
      <c r="J183" s="5">
        <v>11290</v>
      </c>
      <c r="K183" s="5">
        <v>56450</v>
      </c>
      <c r="L183" s="5">
        <v>36155.760000000002</v>
      </c>
      <c r="M183" s="5">
        <v>20294.240000000002</v>
      </c>
      <c r="N183" s="5" t="s">
        <v>51</v>
      </c>
    </row>
    <row r="184" spans="1:14" x14ac:dyDescent="0.3">
      <c r="A184" s="5">
        <v>1183</v>
      </c>
      <c r="B184" s="6">
        <v>45428</v>
      </c>
      <c r="C184" s="5" t="s">
        <v>15</v>
      </c>
      <c r="D184" s="5" t="s">
        <v>19</v>
      </c>
      <c r="E184" s="5" t="s">
        <v>28</v>
      </c>
      <c r="F184" s="5" t="s">
        <v>30</v>
      </c>
      <c r="G184" s="5" t="s">
        <v>40</v>
      </c>
      <c r="H184" s="5" t="s">
        <v>47</v>
      </c>
      <c r="I184" s="5">
        <v>3</v>
      </c>
      <c r="J184" s="5">
        <v>41461</v>
      </c>
      <c r="K184" s="5">
        <v>124383</v>
      </c>
      <c r="L184" s="5">
        <v>84046.36</v>
      </c>
      <c r="M184" s="5">
        <v>40336.639999999999</v>
      </c>
      <c r="N184" s="5" t="s">
        <v>50</v>
      </c>
    </row>
    <row r="185" spans="1:14" x14ac:dyDescent="0.3">
      <c r="A185" s="5">
        <v>1184</v>
      </c>
      <c r="B185" s="6">
        <v>45299</v>
      </c>
      <c r="C185" s="5" t="s">
        <v>15</v>
      </c>
      <c r="D185" s="5" t="s">
        <v>22</v>
      </c>
      <c r="E185" s="5" t="s">
        <v>28</v>
      </c>
      <c r="F185" s="5" t="s">
        <v>30</v>
      </c>
      <c r="G185" s="5" t="s">
        <v>40</v>
      </c>
      <c r="H185" s="5" t="s">
        <v>49</v>
      </c>
      <c r="I185" s="5">
        <v>10</v>
      </c>
      <c r="J185" s="5">
        <v>3199</v>
      </c>
      <c r="K185" s="5">
        <v>31990</v>
      </c>
      <c r="L185" s="5">
        <v>25793.83</v>
      </c>
      <c r="M185" s="5">
        <v>6196.17</v>
      </c>
      <c r="N185" s="5" t="s">
        <v>51</v>
      </c>
    </row>
    <row r="186" spans="1:14" x14ac:dyDescent="0.3">
      <c r="A186" s="5">
        <v>1185</v>
      </c>
      <c r="B186" s="6">
        <v>45299</v>
      </c>
      <c r="C186" s="5" t="s">
        <v>17</v>
      </c>
      <c r="D186" s="5" t="s">
        <v>18</v>
      </c>
      <c r="E186" s="5" t="s">
        <v>27</v>
      </c>
      <c r="F186" s="5" t="s">
        <v>29</v>
      </c>
      <c r="G186" s="5" t="s">
        <v>36</v>
      </c>
      <c r="H186" s="5" t="s">
        <v>45</v>
      </c>
      <c r="I186" s="5">
        <v>10</v>
      </c>
      <c r="J186" s="5">
        <v>27801</v>
      </c>
      <c r="K186" s="5">
        <v>278010</v>
      </c>
      <c r="L186" s="5">
        <v>209766.08</v>
      </c>
      <c r="M186" s="5">
        <v>68243.92</v>
      </c>
      <c r="N186" s="5" t="s">
        <v>51</v>
      </c>
    </row>
    <row r="187" spans="1:14" x14ac:dyDescent="0.3">
      <c r="A187" s="5">
        <v>1186</v>
      </c>
      <c r="B187" s="6">
        <v>45468</v>
      </c>
      <c r="C187" s="5" t="s">
        <v>15</v>
      </c>
      <c r="D187" s="5" t="s">
        <v>21</v>
      </c>
      <c r="E187" s="5" t="s">
        <v>26</v>
      </c>
      <c r="F187" s="5" t="s">
        <v>31</v>
      </c>
      <c r="G187" s="5" t="s">
        <v>43</v>
      </c>
      <c r="H187" s="5" t="s">
        <v>46</v>
      </c>
      <c r="I187" s="5">
        <v>7</v>
      </c>
      <c r="J187" s="5">
        <v>19992</v>
      </c>
      <c r="K187" s="5">
        <v>139944</v>
      </c>
      <c r="L187" s="5">
        <v>99834.1</v>
      </c>
      <c r="M187" s="5">
        <v>40109.9</v>
      </c>
      <c r="N187" s="5" t="s">
        <v>51</v>
      </c>
    </row>
    <row r="188" spans="1:14" x14ac:dyDescent="0.3">
      <c r="A188" s="5">
        <v>1187</v>
      </c>
      <c r="B188" s="6">
        <v>45373</v>
      </c>
      <c r="C188" s="5" t="s">
        <v>16</v>
      </c>
      <c r="D188" s="5" t="s">
        <v>23</v>
      </c>
      <c r="E188" s="5" t="s">
        <v>25</v>
      </c>
      <c r="F188" s="5" t="s">
        <v>31</v>
      </c>
      <c r="G188" s="5" t="s">
        <v>43</v>
      </c>
      <c r="H188" s="5" t="s">
        <v>45</v>
      </c>
      <c r="I188" s="5">
        <v>6</v>
      </c>
      <c r="J188" s="5">
        <v>40258</v>
      </c>
      <c r="K188" s="5">
        <v>241548</v>
      </c>
      <c r="L188" s="5">
        <v>153604.51999999999</v>
      </c>
      <c r="M188" s="5">
        <v>87943.48</v>
      </c>
      <c r="N188" s="5" t="s">
        <v>50</v>
      </c>
    </row>
    <row r="189" spans="1:14" x14ac:dyDescent="0.3">
      <c r="A189" s="5">
        <v>1188</v>
      </c>
      <c r="B189" s="6">
        <v>45355</v>
      </c>
      <c r="C189" s="5" t="s">
        <v>14</v>
      </c>
      <c r="D189" s="5" t="s">
        <v>22</v>
      </c>
      <c r="E189" s="5" t="s">
        <v>24</v>
      </c>
      <c r="F189" s="5" t="s">
        <v>31</v>
      </c>
      <c r="G189" s="5" t="s">
        <v>43</v>
      </c>
      <c r="H189" s="5" t="s">
        <v>45</v>
      </c>
      <c r="I189" s="5">
        <v>8</v>
      </c>
      <c r="J189" s="5">
        <v>8529</v>
      </c>
      <c r="K189" s="5">
        <v>68232</v>
      </c>
      <c r="L189" s="5">
        <v>45501.73</v>
      </c>
      <c r="M189" s="5">
        <v>22730.27</v>
      </c>
      <c r="N189" s="5" t="s">
        <v>51</v>
      </c>
    </row>
    <row r="190" spans="1:14" x14ac:dyDescent="0.3">
      <c r="A190" s="5">
        <v>1189</v>
      </c>
      <c r="B190" s="6">
        <v>45375</v>
      </c>
      <c r="C190" s="5" t="s">
        <v>16</v>
      </c>
      <c r="D190" s="5" t="s">
        <v>21</v>
      </c>
      <c r="E190" s="5" t="s">
        <v>25</v>
      </c>
      <c r="F190" s="5" t="s">
        <v>29</v>
      </c>
      <c r="G190" s="5" t="s">
        <v>33</v>
      </c>
      <c r="H190" s="5" t="s">
        <v>46</v>
      </c>
      <c r="I190" s="5">
        <v>4</v>
      </c>
      <c r="J190" s="5">
        <v>57208</v>
      </c>
      <c r="K190" s="5">
        <v>228832</v>
      </c>
      <c r="L190" s="5">
        <v>188918.6</v>
      </c>
      <c r="M190" s="5">
        <v>39913.4</v>
      </c>
      <c r="N190" s="5" t="s">
        <v>51</v>
      </c>
    </row>
    <row r="191" spans="1:14" x14ac:dyDescent="0.3">
      <c r="A191" s="5">
        <v>1190</v>
      </c>
      <c r="B191" s="6">
        <v>45392</v>
      </c>
      <c r="C191" s="5" t="s">
        <v>17</v>
      </c>
      <c r="D191" s="5" t="s">
        <v>21</v>
      </c>
      <c r="E191" s="5" t="s">
        <v>25</v>
      </c>
      <c r="F191" s="5" t="s">
        <v>31</v>
      </c>
      <c r="G191" s="5" t="s">
        <v>37</v>
      </c>
      <c r="H191" s="5" t="s">
        <v>49</v>
      </c>
      <c r="I191" s="5">
        <v>8</v>
      </c>
      <c r="J191" s="5">
        <v>2018</v>
      </c>
      <c r="K191" s="5">
        <v>16144</v>
      </c>
      <c r="L191" s="5">
        <v>10049.84</v>
      </c>
      <c r="M191" s="5">
        <v>6094.16</v>
      </c>
      <c r="N191" s="5" t="s">
        <v>51</v>
      </c>
    </row>
    <row r="192" spans="1:14" x14ac:dyDescent="0.3">
      <c r="A192" s="5">
        <v>1191</v>
      </c>
      <c r="B192" s="6">
        <v>45459</v>
      </c>
      <c r="C192" s="5" t="s">
        <v>17</v>
      </c>
      <c r="D192" s="5" t="s">
        <v>20</v>
      </c>
      <c r="E192" s="5" t="s">
        <v>27</v>
      </c>
      <c r="F192" s="5" t="s">
        <v>30</v>
      </c>
      <c r="G192" s="5" t="s">
        <v>42</v>
      </c>
      <c r="H192" s="5" t="s">
        <v>48</v>
      </c>
      <c r="I192" s="5">
        <v>5</v>
      </c>
      <c r="J192" s="5">
        <v>32933</v>
      </c>
      <c r="K192" s="5">
        <v>164665</v>
      </c>
      <c r="L192" s="5">
        <v>123396.61</v>
      </c>
      <c r="M192" s="5">
        <v>41268.39</v>
      </c>
      <c r="N192" s="5" t="s">
        <v>50</v>
      </c>
    </row>
    <row r="193" spans="1:14" x14ac:dyDescent="0.3">
      <c r="A193" s="5">
        <v>1192</v>
      </c>
      <c r="B193" s="6">
        <v>45395</v>
      </c>
      <c r="C193" s="5" t="s">
        <v>16</v>
      </c>
      <c r="D193" s="5" t="s">
        <v>22</v>
      </c>
      <c r="E193" s="5" t="s">
        <v>26</v>
      </c>
      <c r="F193" s="5" t="s">
        <v>31</v>
      </c>
      <c r="G193" s="5" t="s">
        <v>43</v>
      </c>
      <c r="H193" s="5" t="s">
        <v>48</v>
      </c>
      <c r="I193" s="5">
        <v>5</v>
      </c>
      <c r="J193" s="5">
        <v>48177</v>
      </c>
      <c r="K193" s="5">
        <v>240885</v>
      </c>
      <c r="L193" s="5">
        <v>166558.59</v>
      </c>
      <c r="M193" s="5">
        <v>74326.41</v>
      </c>
      <c r="N193" s="5" t="s">
        <v>50</v>
      </c>
    </row>
    <row r="194" spans="1:14" x14ac:dyDescent="0.3">
      <c r="A194" s="5">
        <v>1193</v>
      </c>
      <c r="B194" s="6">
        <v>45432</v>
      </c>
      <c r="C194" s="5" t="s">
        <v>16</v>
      </c>
      <c r="D194" s="5" t="s">
        <v>19</v>
      </c>
      <c r="E194" s="5" t="s">
        <v>28</v>
      </c>
      <c r="F194" s="5" t="s">
        <v>31</v>
      </c>
      <c r="G194" s="5" t="s">
        <v>37</v>
      </c>
      <c r="H194" s="5" t="s">
        <v>49</v>
      </c>
      <c r="I194" s="5">
        <v>2</v>
      </c>
      <c r="J194" s="5">
        <v>25819</v>
      </c>
      <c r="K194" s="5">
        <v>51638</v>
      </c>
      <c r="L194" s="5">
        <v>37492.49</v>
      </c>
      <c r="M194" s="5">
        <v>14145.51</v>
      </c>
      <c r="N194" s="5" t="s">
        <v>50</v>
      </c>
    </row>
    <row r="195" spans="1:14" x14ac:dyDescent="0.3">
      <c r="A195" s="5">
        <v>1194</v>
      </c>
      <c r="B195" s="6">
        <v>45378</v>
      </c>
      <c r="C195" s="5" t="s">
        <v>16</v>
      </c>
      <c r="D195" s="5" t="s">
        <v>21</v>
      </c>
      <c r="E195" s="5" t="s">
        <v>25</v>
      </c>
      <c r="F195" s="5" t="s">
        <v>30</v>
      </c>
      <c r="G195" s="5" t="s">
        <v>42</v>
      </c>
      <c r="H195" s="5" t="s">
        <v>49</v>
      </c>
      <c r="I195" s="5">
        <v>7</v>
      </c>
      <c r="J195" s="5">
        <v>24957</v>
      </c>
      <c r="K195" s="5">
        <v>174699</v>
      </c>
      <c r="L195" s="5">
        <v>139536.34</v>
      </c>
      <c r="M195" s="5">
        <v>35162.660000000003</v>
      </c>
      <c r="N195" s="5" t="s">
        <v>51</v>
      </c>
    </row>
    <row r="196" spans="1:14" x14ac:dyDescent="0.3">
      <c r="A196" s="5">
        <v>1195</v>
      </c>
      <c r="B196" s="6">
        <v>45377</v>
      </c>
      <c r="C196" s="5" t="s">
        <v>17</v>
      </c>
      <c r="D196" s="5" t="s">
        <v>19</v>
      </c>
      <c r="E196" s="5" t="s">
        <v>26</v>
      </c>
      <c r="F196" s="5" t="s">
        <v>29</v>
      </c>
      <c r="G196" s="5" t="s">
        <v>32</v>
      </c>
      <c r="H196" s="5" t="s">
        <v>47</v>
      </c>
      <c r="I196" s="5">
        <v>1</v>
      </c>
      <c r="J196" s="5">
        <v>3050</v>
      </c>
      <c r="K196" s="5">
        <v>3050</v>
      </c>
      <c r="L196" s="5">
        <v>1934.49</v>
      </c>
      <c r="M196" s="5">
        <v>1115.51</v>
      </c>
      <c r="N196" s="5" t="s">
        <v>50</v>
      </c>
    </row>
    <row r="197" spans="1:14" x14ac:dyDescent="0.3">
      <c r="A197" s="5">
        <v>1196</v>
      </c>
      <c r="B197" s="6">
        <v>45368</v>
      </c>
      <c r="C197" s="5" t="s">
        <v>16</v>
      </c>
      <c r="D197" s="5" t="s">
        <v>19</v>
      </c>
      <c r="E197" s="5" t="s">
        <v>27</v>
      </c>
      <c r="F197" s="5" t="s">
        <v>31</v>
      </c>
      <c r="G197" s="5" t="s">
        <v>37</v>
      </c>
      <c r="H197" s="5" t="s">
        <v>49</v>
      </c>
      <c r="I197" s="5">
        <v>3</v>
      </c>
      <c r="J197" s="5">
        <v>26252</v>
      </c>
      <c r="K197" s="5">
        <v>78756</v>
      </c>
      <c r="L197" s="5">
        <v>66757.83</v>
      </c>
      <c r="M197" s="5">
        <v>11998.17</v>
      </c>
      <c r="N197" s="5" t="s">
        <v>51</v>
      </c>
    </row>
    <row r="198" spans="1:14" x14ac:dyDescent="0.3">
      <c r="A198" s="5">
        <v>1197</v>
      </c>
      <c r="B198" s="6">
        <v>45376</v>
      </c>
      <c r="C198" s="5" t="s">
        <v>15</v>
      </c>
      <c r="D198" s="5" t="s">
        <v>23</v>
      </c>
      <c r="E198" s="5" t="s">
        <v>27</v>
      </c>
      <c r="F198" s="5" t="s">
        <v>29</v>
      </c>
      <c r="G198" s="5" t="s">
        <v>38</v>
      </c>
      <c r="H198" s="5" t="s">
        <v>45</v>
      </c>
      <c r="I198" s="5">
        <v>8</v>
      </c>
      <c r="J198" s="5">
        <v>53960</v>
      </c>
      <c r="K198" s="5">
        <v>431680</v>
      </c>
      <c r="L198" s="5">
        <v>260803.46</v>
      </c>
      <c r="M198" s="5">
        <v>170876.54</v>
      </c>
      <c r="N198" s="5" t="s">
        <v>50</v>
      </c>
    </row>
    <row r="199" spans="1:14" x14ac:dyDescent="0.3">
      <c r="A199" s="5">
        <v>1198</v>
      </c>
      <c r="B199" s="6">
        <v>45440</v>
      </c>
      <c r="C199" s="5" t="s">
        <v>14</v>
      </c>
      <c r="D199" s="5" t="s">
        <v>18</v>
      </c>
      <c r="E199" s="5" t="s">
        <v>24</v>
      </c>
      <c r="F199" s="5" t="s">
        <v>29</v>
      </c>
      <c r="G199" s="5" t="s">
        <v>33</v>
      </c>
      <c r="H199" s="5" t="s">
        <v>49</v>
      </c>
      <c r="I199" s="5">
        <v>5</v>
      </c>
      <c r="J199" s="5">
        <v>43464</v>
      </c>
      <c r="K199" s="5">
        <v>217320</v>
      </c>
      <c r="L199" s="5">
        <v>172927.17</v>
      </c>
      <c r="M199" s="5">
        <v>44392.83</v>
      </c>
      <c r="N199" s="5" t="s">
        <v>51</v>
      </c>
    </row>
    <row r="200" spans="1:14" x14ac:dyDescent="0.3">
      <c r="A200" s="5">
        <v>1199</v>
      </c>
      <c r="B200" s="6">
        <v>45300</v>
      </c>
      <c r="C200" s="5" t="s">
        <v>15</v>
      </c>
      <c r="D200" s="5" t="s">
        <v>21</v>
      </c>
      <c r="E200" s="5" t="s">
        <v>24</v>
      </c>
      <c r="F200" s="5" t="s">
        <v>30</v>
      </c>
      <c r="G200" s="5" t="s">
        <v>34</v>
      </c>
      <c r="H200" s="5" t="s">
        <v>46</v>
      </c>
      <c r="I200" s="5">
        <v>3</v>
      </c>
      <c r="J200" s="5">
        <v>54348</v>
      </c>
      <c r="K200" s="5">
        <v>163044</v>
      </c>
      <c r="L200" s="5">
        <v>125573.51</v>
      </c>
      <c r="M200" s="5">
        <v>37470.49</v>
      </c>
      <c r="N200" s="5" t="s">
        <v>51</v>
      </c>
    </row>
    <row r="201" spans="1:14" x14ac:dyDescent="0.3">
      <c r="A201" s="5">
        <v>1200</v>
      </c>
      <c r="B201" s="6">
        <v>45420</v>
      </c>
      <c r="C201" s="5" t="s">
        <v>17</v>
      </c>
      <c r="D201" s="5" t="s">
        <v>18</v>
      </c>
      <c r="E201" s="5" t="s">
        <v>28</v>
      </c>
      <c r="F201" s="5" t="s">
        <v>31</v>
      </c>
      <c r="G201" s="5" t="s">
        <v>43</v>
      </c>
      <c r="H201" s="5" t="s">
        <v>48</v>
      </c>
      <c r="I201" s="5">
        <v>7</v>
      </c>
      <c r="J201" s="5">
        <v>45752</v>
      </c>
      <c r="K201" s="5">
        <v>320264</v>
      </c>
      <c r="L201" s="5">
        <v>208483.19</v>
      </c>
      <c r="M201" s="5">
        <v>111780.81</v>
      </c>
      <c r="N201" s="5" t="s">
        <v>50</v>
      </c>
    </row>
    <row r="202" spans="1:14" x14ac:dyDescent="0.3">
      <c r="B202" s="6" t="s">
        <v>62</v>
      </c>
      <c r="I202" s="5">
        <f>SUBTOTAL(109,I2:I201)</f>
        <v>1106</v>
      </c>
      <c r="J202" s="5">
        <f>SUBTOTAL(109,J2:J201)</f>
        <v>5751786</v>
      </c>
      <c r="K202" s="5">
        <f t="shared" ref="K202" si="0">SUBTOTAL(109,K2:K201)</f>
        <v>31373722</v>
      </c>
      <c r="L202" s="5">
        <f>SUBTOTAL(109,L2:L201)</f>
        <v>22578483.409999989</v>
      </c>
      <c r="M202" s="5">
        <f>SUBTOTAL(109,M2:M201)</f>
        <v>8795238.589999998</v>
      </c>
    </row>
    <row r="1048576" spans="11:11" x14ac:dyDescent="0.3">
      <c r="K1048576" s="5">
        <f>SUM(K2:K1048575)</f>
        <v>62747444</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5147-FBD9-4F10-B64A-B44A547C38D7}">
  <dimension ref="A3:O32"/>
  <sheetViews>
    <sheetView workbookViewId="0">
      <selection activeCell="A3" sqref="A3:B10"/>
    </sheetView>
  </sheetViews>
  <sheetFormatPr defaultRowHeight="14.4" x14ac:dyDescent="0.3"/>
  <cols>
    <col min="1" max="1" width="12.5546875" bestFit="1" customWidth="1"/>
    <col min="2" max="2" width="12.109375" bestFit="1" customWidth="1"/>
    <col min="3" max="3" width="15.109375" bestFit="1" customWidth="1"/>
    <col min="14" max="14" width="12.5546875" bestFit="1" customWidth="1"/>
    <col min="15" max="16" width="12.109375" bestFit="1" customWidth="1"/>
  </cols>
  <sheetData>
    <row r="3" spans="1:15" x14ac:dyDescent="0.3">
      <c r="A3" s="7" t="s">
        <v>53</v>
      </c>
      <c r="B3" t="s">
        <v>52</v>
      </c>
      <c r="N3" s="7" t="s">
        <v>53</v>
      </c>
      <c r="O3" t="s">
        <v>61</v>
      </c>
    </row>
    <row r="4" spans="1:15" x14ac:dyDescent="0.3">
      <c r="A4" s="4" t="s">
        <v>55</v>
      </c>
      <c r="B4" s="20">
        <v>4842576</v>
      </c>
      <c r="N4" s="4" t="s">
        <v>15</v>
      </c>
      <c r="O4" s="20">
        <v>2243006.5499999998</v>
      </c>
    </row>
    <row r="5" spans="1:15" x14ac:dyDescent="0.3">
      <c r="A5" s="4" t="s">
        <v>56</v>
      </c>
      <c r="B5" s="20">
        <v>3825947</v>
      </c>
      <c r="N5" s="4" t="s">
        <v>16</v>
      </c>
      <c r="O5" s="20">
        <v>2635652.5500000003</v>
      </c>
    </row>
    <row r="6" spans="1:15" x14ac:dyDescent="0.3">
      <c r="A6" s="4" t="s">
        <v>57</v>
      </c>
      <c r="B6" s="20">
        <v>6741203</v>
      </c>
      <c r="N6" s="4" t="s">
        <v>17</v>
      </c>
      <c r="O6" s="20">
        <v>1981108.6399999994</v>
      </c>
    </row>
    <row r="7" spans="1:15" x14ac:dyDescent="0.3">
      <c r="A7" s="4" t="s">
        <v>58</v>
      </c>
      <c r="B7" s="20">
        <v>5121394</v>
      </c>
      <c r="N7" s="4" t="s">
        <v>14</v>
      </c>
      <c r="O7" s="20">
        <v>1935470.8500000003</v>
      </c>
    </row>
    <row r="8" spans="1:15" x14ac:dyDescent="0.3">
      <c r="A8" s="4" t="s">
        <v>59</v>
      </c>
      <c r="B8" s="20">
        <v>7246134</v>
      </c>
      <c r="N8" s="4" t="s">
        <v>63</v>
      </c>
      <c r="O8" s="20"/>
    </row>
    <row r="9" spans="1:15" x14ac:dyDescent="0.3">
      <c r="A9" s="4" t="s">
        <v>60</v>
      </c>
      <c r="B9" s="20">
        <v>3596468</v>
      </c>
      <c r="N9" s="4" t="s">
        <v>54</v>
      </c>
      <c r="O9" s="20">
        <v>8795238.5899999999</v>
      </c>
    </row>
    <row r="10" spans="1:15" x14ac:dyDescent="0.3">
      <c r="A10" s="4" t="s">
        <v>54</v>
      </c>
      <c r="B10" s="20">
        <v>31373722</v>
      </c>
    </row>
    <row r="21" spans="1:15" x14ac:dyDescent="0.3">
      <c r="N21" s="7" t="s">
        <v>53</v>
      </c>
      <c r="O21" t="s">
        <v>61</v>
      </c>
    </row>
    <row r="22" spans="1:15" x14ac:dyDescent="0.3">
      <c r="N22" s="4" t="s">
        <v>45</v>
      </c>
      <c r="O22" s="20">
        <v>1404074.4899999998</v>
      </c>
    </row>
    <row r="23" spans="1:15" x14ac:dyDescent="0.3">
      <c r="N23" s="4" t="s">
        <v>49</v>
      </c>
      <c r="O23" s="20">
        <v>1449173.29</v>
      </c>
    </row>
    <row r="24" spans="1:15" x14ac:dyDescent="0.3">
      <c r="N24" s="4" t="s">
        <v>46</v>
      </c>
      <c r="O24" s="20">
        <v>1411114.6799999997</v>
      </c>
    </row>
    <row r="25" spans="1:15" x14ac:dyDescent="0.3">
      <c r="N25" s="4" t="s">
        <v>47</v>
      </c>
      <c r="O25" s="20">
        <v>1217064.5999999999</v>
      </c>
    </row>
    <row r="26" spans="1:15" x14ac:dyDescent="0.3">
      <c r="N26" s="4" t="s">
        <v>48</v>
      </c>
      <c r="O26" s="20">
        <v>1517038.5799999998</v>
      </c>
    </row>
    <row r="27" spans="1:15" x14ac:dyDescent="0.3">
      <c r="A27" s="7" t="s">
        <v>53</v>
      </c>
      <c r="B27" t="s">
        <v>61</v>
      </c>
      <c r="N27" s="4" t="s">
        <v>44</v>
      </c>
      <c r="O27" s="20">
        <v>1796772.9500000002</v>
      </c>
    </row>
    <row r="28" spans="1:15" x14ac:dyDescent="0.3">
      <c r="A28" s="4" t="s">
        <v>29</v>
      </c>
      <c r="B28" s="20">
        <v>3133755.2799999989</v>
      </c>
      <c r="N28" s="4" t="s">
        <v>54</v>
      </c>
      <c r="O28" s="20">
        <v>8795238.5899999999</v>
      </c>
    </row>
    <row r="29" spans="1:15" x14ac:dyDescent="0.3">
      <c r="A29" s="4" t="s">
        <v>30</v>
      </c>
      <c r="B29" s="20">
        <v>2401740.7400000016</v>
      </c>
    </row>
    <row r="30" spans="1:15" x14ac:dyDescent="0.3">
      <c r="A30" s="4" t="s">
        <v>31</v>
      </c>
      <c r="B30" s="20">
        <v>3259742.5699999994</v>
      </c>
    </row>
    <row r="31" spans="1:15" x14ac:dyDescent="0.3">
      <c r="A31" s="4" t="s">
        <v>63</v>
      </c>
      <c r="B31" s="20"/>
    </row>
    <row r="32" spans="1:15" x14ac:dyDescent="0.3">
      <c r="A32" s="4" t="s">
        <v>54</v>
      </c>
      <c r="B32" s="20">
        <v>8795238.5899999999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CC17-6ADF-48E2-BA43-1865239BFAB8}">
  <dimension ref="A1:N33"/>
  <sheetViews>
    <sheetView tabSelected="1" zoomScaleNormal="100" workbookViewId="0">
      <selection activeCell="Q21" sqref="Q21"/>
    </sheetView>
  </sheetViews>
  <sheetFormatPr defaultRowHeight="14.4" x14ac:dyDescent="0.3"/>
  <sheetData>
    <row r="1" spans="2:14" ht="15" thickBot="1" x14ac:dyDescent="0.35"/>
    <row r="2" spans="2:14" x14ac:dyDescent="0.3">
      <c r="B2" s="8"/>
      <c r="C2" s="9"/>
      <c r="D2" s="9"/>
      <c r="E2" s="9"/>
      <c r="F2" s="9"/>
      <c r="G2" s="9"/>
      <c r="H2" s="9"/>
      <c r="I2" s="9"/>
      <c r="J2" s="9"/>
      <c r="K2" s="9"/>
      <c r="L2" s="9"/>
      <c r="M2" s="9"/>
      <c r="N2" s="10"/>
    </row>
    <row r="3" spans="2:14" x14ac:dyDescent="0.3">
      <c r="B3" s="11"/>
      <c r="C3" s="16"/>
      <c r="D3" s="16"/>
      <c r="E3" s="16"/>
      <c r="F3" s="16"/>
      <c r="G3" s="16"/>
      <c r="H3" s="16"/>
      <c r="I3" s="16"/>
      <c r="J3" s="16"/>
      <c r="K3" s="16"/>
      <c r="L3" s="16"/>
      <c r="M3" s="16"/>
      <c r="N3" s="12"/>
    </row>
    <row r="4" spans="2:14" x14ac:dyDescent="0.3">
      <c r="B4" s="11"/>
      <c r="C4" s="16"/>
      <c r="D4" s="16"/>
      <c r="E4" s="16"/>
      <c r="F4" s="16"/>
      <c r="G4" s="16"/>
      <c r="H4" s="16"/>
      <c r="I4" s="16"/>
      <c r="J4" s="16"/>
      <c r="K4" s="16"/>
      <c r="L4" s="16"/>
      <c r="M4" s="16"/>
      <c r="N4" s="12"/>
    </row>
    <row r="5" spans="2:14" x14ac:dyDescent="0.3">
      <c r="B5" s="11"/>
      <c r="C5" s="16"/>
      <c r="D5" s="16"/>
      <c r="E5" s="16"/>
      <c r="F5" s="16"/>
      <c r="G5" s="16"/>
      <c r="H5" s="16"/>
      <c r="I5" s="16"/>
      <c r="J5" s="16"/>
      <c r="K5" s="16"/>
      <c r="L5" s="16"/>
      <c r="M5" s="16"/>
      <c r="N5" s="12"/>
    </row>
    <row r="6" spans="2:14" x14ac:dyDescent="0.3">
      <c r="B6" s="11"/>
      <c r="C6" s="16"/>
      <c r="D6" s="16"/>
      <c r="E6" s="16"/>
      <c r="F6" s="16"/>
      <c r="G6" s="16"/>
      <c r="H6" s="16"/>
      <c r="I6" s="16"/>
      <c r="J6" s="16"/>
      <c r="K6" s="16"/>
      <c r="L6" s="16"/>
      <c r="M6" s="16"/>
      <c r="N6" s="12"/>
    </row>
    <row r="7" spans="2:14" x14ac:dyDescent="0.3">
      <c r="B7" s="11"/>
      <c r="C7" s="16"/>
      <c r="D7" s="16"/>
      <c r="E7" s="16"/>
      <c r="F7" s="16"/>
      <c r="G7" s="16"/>
      <c r="H7" s="16"/>
      <c r="I7" s="16"/>
      <c r="J7" s="16"/>
      <c r="K7" s="16"/>
      <c r="L7" s="16"/>
      <c r="M7" s="16"/>
      <c r="N7" s="12"/>
    </row>
    <row r="8" spans="2:14" x14ac:dyDescent="0.3">
      <c r="B8" s="11"/>
      <c r="C8" s="16"/>
      <c r="D8" s="16"/>
      <c r="E8" s="16"/>
      <c r="F8" s="16"/>
      <c r="G8" s="16"/>
      <c r="H8" s="16"/>
      <c r="I8" s="16"/>
      <c r="J8" s="16"/>
      <c r="K8" s="16"/>
      <c r="L8" s="16"/>
      <c r="M8" s="16"/>
      <c r="N8" s="12"/>
    </row>
    <row r="9" spans="2:14" x14ac:dyDescent="0.3">
      <c r="B9" s="11"/>
      <c r="C9" s="16"/>
      <c r="D9" s="16"/>
      <c r="E9" s="16"/>
      <c r="F9" s="16"/>
      <c r="G9" s="16"/>
      <c r="H9" s="16"/>
      <c r="I9" s="16"/>
      <c r="J9" s="16"/>
      <c r="K9" s="16"/>
      <c r="L9" s="16"/>
      <c r="M9" s="16"/>
      <c r="N9" s="12"/>
    </row>
    <row r="10" spans="2:14" x14ac:dyDescent="0.3">
      <c r="B10" s="11"/>
      <c r="C10" s="16"/>
      <c r="D10" s="16"/>
      <c r="E10" s="16"/>
      <c r="F10" s="16"/>
      <c r="G10" s="16"/>
      <c r="H10" s="16"/>
      <c r="I10" s="16"/>
      <c r="J10" s="16"/>
      <c r="K10" s="16"/>
      <c r="L10" s="16"/>
      <c r="M10" s="16"/>
      <c r="N10" s="12"/>
    </row>
    <row r="11" spans="2:14" x14ac:dyDescent="0.3">
      <c r="B11" s="11"/>
      <c r="C11" s="16"/>
      <c r="D11" s="16"/>
      <c r="E11" s="16"/>
      <c r="F11" s="16"/>
      <c r="G11" s="16"/>
      <c r="H11" s="16"/>
      <c r="I11" s="16"/>
      <c r="J11" s="16"/>
      <c r="K11" s="16"/>
      <c r="L11" s="16"/>
      <c r="M11" s="16"/>
      <c r="N11" s="12"/>
    </row>
    <row r="12" spans="2:14" x14ac:dyDescent="0.3">
      <c r="B12" s="11"/>
      <c r="C12" s="16"/>
      <c r="D12" s="17"/>
      <c r="E12" s="16"/>
      <c r="F12" s="16"/>
      <c r="G12" s="16"/>
      <c r="H12" s="16"/>
      <c r="I12" s="16"/>
      <c r="J12" s="16"/>
      <c r="K12" s="16"/>
      <c r="L12" s="16"/>
      <c r="M12" s="16"/>
      <c r="N12" s="12"/>
    </row>
    <row r="13" spans="2:14" x14ac:dyDescent="0.3">
      <c r="B13" s="11"/>
      <c r="C13" s="16"/>
      <c r="D13" s="16"/>
      <c r="E13" s="16"/>
      <c r="F13" s="16"/>
      <c r="G13" s="16"/>
      <c r="H13" s="16"/>
      <c r="I13" s="16"/>
      <c r="J13" s="16"/>
      <c r="K13" s="16"/>
      <c r="L13" s="16"/>
      <c r="M13" s="16"/>
      <c r="N13" s="12"/>
    </row>
    <row r="14" spans="2:14" x14ac:dyDescent="0.3">
      <c r="B14" s="11"/>
      <c r="C14" s="16"/>
      <c r="D14" s="16"/>
      <c r="E14" s="16"/>
      <c r="F14" s="16"/>
      <c r="G14" s="16"/>
      <c r="H14" s="16"/>
      <c r="I14" s="16"/>
      <c r="J14" s="16"/>
      <c r="K14" s="16"/>
      <c r="L14" s="16"/>
      <c r="M14" s="16"/>
      <c r="N14" s="12"/>
    </row>
    <row r="15" spans="2:14" x14ac:dyDescent="0.3">
      <c r="B15" s="11"/>
      <c r="C15" s="16"/>
      <c r="D15" s="16"/>
      <c r="E15" s="16"/>
      <c r="F15" s="16"/>
      <c r="G15" s="16"/>
      <c r="H15" s="16"/>
      <c r="I15" s="16"/>
      <c r="J15" s="16"/>
      <c r="K15" s="16"/>
      <c r="L15" s="16"/>
      <c r="M15" s="16"/>
      <c r="N15" s="12"/>
    </row>
    <row r="16" spans="2:14" x14ac:dyDescent="0.3">
      <c r="B16" s="11"/>
      <c r="C16" s="16"/>
      <c r="D16" s="16"/>
      <c r="E16" s="16"/>
      <c r="F16" s="16"/>
      <c r="G16" s="16"/>
      <c r="H16" s="16"/>
      <c r="I16" s="16"/>
      <c r="J16" s="16"/>
      <c r="K16" s="16"/>
      <c r="L16" s="16"/>
      <c r="M16" s="16"/>
      <c r="N16" s="12"/>
    </row>
    <row r="17" spans="1:14" x14ac:dyDescent="0.3">
      <c r="B17" s="11"/>
      <c r="C17" s="16"/>
      <c r="D17" s="16"/>
      <c r="E17" s="16"/>
      <c r="F17" s="16"/>
      <c r="G17" s="16"/>
      <c r="H17" s="16"/>
      <c r="I17" s="16"/>
      <c r="J17" s="16"/>
      <c r="K17" s="16"/>
      <c r="L17" s="16"/>
      <c r="M17" s="16"/>
      <c r="N17" s="12"/>
    </row>
    <row r="18" spans="1:14" x14ac:dyDescent="0.3">
      <c r="B18" s="11"/>
      <c r="C18" s="16"/>
      <c r="D18" s="16"/>
      <c r="E18" s="16"/>
      <c r="F18" s="16"/>
      <c r="G18" s="16"/>
      <c r="H18" s="16"/>
      <c r="I18" s="16"/>
      <c r="J18" s="16"/>
      <c r="K18" s="16"/>
      <c r="L18" s="16"/>
      <c r="M18" s="16"/>
      <c r="N18" s="12"/>
    </row>
    <row r="19" spans="1:14" x14ac:dyDescent="0.3">
      <c r="B19" s="11"/>
      <c r="C19" s="16"/>
      <c r="D19" s="16"/>
      <c r="E19" s="16"/>
      <c r="F19" s="16"/>
      <c r="G19" s="16"/>
      <c r="H19" s="16"/>
      <c r="I19" s="16"/>
      <c r="J19" s="16"/>
      <c r="K19" s="16"/>
      <c r="L19" s="16"/>
      <c r="M19" s="16"/>
      <c r="N19" s="12"/>
    </row>
    <row r="20" spans="1:14" x14ac:dyDescent="0.3">
      <c r="B20" s="11"/>
      <c r="C20" s="16"/>
      <c r="D20" s="16"/>
      <c r="E20" s="16"/>
      <c r="F20" s="16"/>
      <c r="G20" s="16"/>
      <c r="H20" s="16"/>
      <c r="I20" s="16"/>
      <c r="J20" s="16"/>
      <c r="K20" s="16"/>
      <c r="L20" s="16"/>
      <c r="M20" s="16"/>
      <c r="N20" s="12"/>
    </row>
    <row r="21" spans="1:14" x14ac:dyDescent="0.3">
      <c r="B21" s="11"/>
      <c r="C21" s="16"/>
      <c r="D21" s="16"/>
      <c r="E21" s="16"/>
      <c r="F21" s="16"/>
      <c r="G21" s="16"/>
      <c r="H21" s="16"/>
      <c r="I21" s="16"/>
      <c r="J21" s="16"/>
      <c r="K21" s="16"/>
      <c r="L21" s="16"/>
      <c r="M21" s="16"/>
      <c r="N21" s="12"/>
    </row>
    <row r="22" spans="1:14" x14ac:dyDescent="0.3">
      <c r="B22" s="11"/>
      <c r="C22" s="16"/>
      <c r="D22" s="16"/>
      <c r="E22" s="16"/>
      <c r="F22" s="16"/>
      <c r="G22" s="16"/>
      <c r="H22" s="16"/>
      <c r="I22" s="16"/>
      <c r="J22" s="16"/>
      <c r="K22" s="16"/>
      <c r="L22" s="16"/>
      <c r="M22" s="16"/>
      <c r="N22" s="12"/>
    </row>
    <row r="23" spans="1:14" x14ac:dyDescent="0.3">
      <c r="B23" s="11"/>
      <c r="C23" s="16"/>
      <c r="D23" s="16"/>
      <c r="E23" s="16"/>
      <c r="F23" s="16"/>
      <c r="G23" s="16"/>
      <c r="H23" s="16"/>
      <c r="I23" s="16"/>
      <c r="J23" s="16"/>
      <c r="K23" s="16"/>
      <c r="L23" s="16"/>
      <c r="M23" s="16"/>
      <c r="N23" s="12"/>
    </row>
    <row r="24" spans="1:14" x14ac:dyDescent="0.3">
      <c r="B24" s="11"/>
      <c r="C24" s="16"/>
      <c r="D24" s="16"/>
      <c r="E24" s="16"/>
      <c r="F24" s="16"/>
      <c r="G24" s="16"/>
      <c r="H24" s="16"/>
      <c r="I24" s="16"/>
      <c r="J24" s="16"/>
      <c r="K24" s="16"/>
      <c r="L24" s="16"/>
      <c r="M24" s="16"/>
      <c r="N24" s="12"/>
    </row>
    <row r="25" spans="1:14" x14ac:dyDescent="0.3">
      <c r="B25" s="11"/>
      <c r="C25" s="16"/>
      <c r="D25" s="16"/>
      <c r="E25" s="16"/>
      <c r="F25" s="16"/>
      <c r="G25" s="16"/>
      <c r="H25" s="16"/>
      <c r="I25" s="16"/>
      <c r="J25" s="16"/>
      <c r="K25" s="16"/>
      <c r="L25" s="16"/>
      <c r="M25" s="16"/>
      <c r="N25" s="12"/>
    </row>
    <row r="26" spans="1:14" x14ac:dyDescent="0.3">
      <c r="B26" s="11"/>
      <c r="C26" s="16"/>
      <c r="D26" s="16"/>
      <c r="E26" s="16"/>
      <c r="F26" s="16"/>
      <c r="G26" s="16"/>
      <c r="H26" s="16"/>
      <c r="I26" s="16"/>
      <c r="J26" s="16"/>
      <c r="K26" s="16"/>
      <c r="L26" s="16"/>
      <c r="M26" s="16"/>
      <c r="N26" s="12"/>
    </row>
    <row r="27" spans="1:14" x14ac:dyDescent="0.3">
      <c r="B27" s="11"/>
      <c r="C27" s="16"/>
      <c r="D27" s="16"/>
      <c r="E27" s="16"/>
      <c r="F27" s="16"/>
      <c r="G27" s="16"/>
      <c r="H27" s="16"/>
      <c r="I27" s="16"/>
      <c r="J27" s="16"/>
      <c r="K27" s="16"/>
      <c r="L27" s="16"/>
      <c r="M27" s="16"/>
      <c r="N27" s="19"/>
    </row>
    <row r="28" spans="1:14" x14ac:dyDescent="0.3">
      <c r="A28" s="18"/>
      <c r="B28" s="16"/>
      <c r="C28" s="16"/>
      <c r="D28" s="16"/>
      <c r="E28" s="16"/>
      <c r="F28" s="16"/>
      <c r="G28" s="16"/>
      <c r="H28" s="16"/>
      <c r="I28" s="16"/>
      <c r="J28" s="16"/>
      <c r="K28" s="16"/>
      <c r="L28" s="16"/>
      <c r="M28" s="16"/>
      <c r="N28" s="19"/>
    </row>
    <row r="29" spans="1:14" x14ac:dyDescent="0.3">
      <c r="A29" s="18"/>
      <c r="B29" s="16"/>
      <c r="C29" s="16"/>
      <c r="D29" s="16"/>
      <c r="E29" s="16"/>
      <c r="F29" s="16"/>
      <c r="G29" s="16"/>
      <c r="H29" s="16"/>
      <c r="I29" s="16"/>
      <c r="J29" s="16"/>
      <c r="K29" s="16"/>
      <c r="L29" s="16"/>
      <c r="M29" s="16"/>
      <c r="N29" s="12"/>
    </row>
    <row r="30" spans="1:14" x14ac:dyDescent="0.3">
      <c r="B30" s="11"/>
      <c r="C30" s="16"/>
      <c r="D30" s="16"/>
      <c r="E30" s="16"/>
      <c r="F30" s="16"/>
      <c r="G30" s="16"/>
      <c r="H30" s="16"/>
      <c r="I30" s="16"/>
      <c r="J30" s="16"/>
      <c r="K30" s="16"/>
      <c r="L30" s="16"/>
      <c r="M30" s="16"/>
      <c r="N30" s="12"/>
    </row>
    <row r="31" spans="1:14" x14ac:dyDescent="0.3">
      <c r="B31" s="11"/>
      <c r="C31" s="16"/>
      <c r="D31" s="16"/>
      <c r="E31" s="16"/>
      <c r="F31" s="16"/>
      <c r="G31" s="16"/>
      <c r="H31" s="16"/>
      <c r="I31" s="16"/>
      <c r="J31" s="16"/>
      <c r="K31" s="16"/>
      <c r="L31" s="16"/>
      <c r="M31" s="16"/>
      <c r="N31" s="12"/>
    </row>
    <row r="32" spans="1:14" x14ac:dyDescent="0.3">
      <c r="B32" s="11"/>
      <c r="C32" s="16"/>
      <c r="D32" s="16"/>
      <c r="E32" s="16"/>
      <c r="F32" s="16"/>
      <c r="G32" s="16"/>
      <c r="H32" s="16"/>
      <c r="I32" s="16"/>
      <c r="J32" s="16"/>
      <c r="K32" s="16"/>
      <c r="L32" s="16"/>
      <c r="M32" s="16"/>
      <c r="N32" s="12"/>
    </row>
    <row r="33" spans="2:14" ht="15" thickBot="1" x14ac:dyDescent="0.35">
      <c r="B33" s="13"/>
      <c r="C33" s="14"/>
      <c r="D33" s="14"/>
      <c r="E33" s="14"/>
      <c r="F33" s="14"/>
      <c r="G33" s="14"/>
      <c r="H33" s="14"/>
      <c r="I33" s="14"/>
      <c r="J33" s="14"/>
      <c r="K33" s="14"/>
      <c r="L33" s="14"/>
      <c r="M33" s="14"/>
      <c r="N3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3D0D2C-6B1D-4129-8053-BF52F20598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Sunca Paul</cp:lastModifiedBy>
  <dcterms:created xsi:type="dcterms:W3CDTF">2026-04-07T12:14:36Z</dcterms:created>
  <dcterms:modified xsi:type="dcterms:W3CDTF">2026-04-09T13:43:37Z</dcterms:modified>
</cp:coreProperties>
</file>