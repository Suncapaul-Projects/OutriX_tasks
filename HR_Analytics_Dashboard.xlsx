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
    </mc:Choice>
  </mc:AlternateContent>
  <xr:revisionPtr revIDLastSave="0" documentId="13_ncr:1_{CF6F5968-E270-4FD2-BB77-425172BC92C4}" xr6:coauthVersionLast="47" xr6:coauthVersionMax="47" xr10:uidLastSave="{00000000-0000-0000-0000-000000000000}"/>
  <bookViews>
    <workbookView xWindow="-108" yWindow="-108" windowWidth="23256" windowHeight="13176" activeTab="3" xr2:uid="{00000000-000D-0000-FFFF-FFFF00000000}"/>
  </bookViews>
  <sheets>
    <sheet name="HR_Dashboard_Data" sheetId="1" r:id="rId1"/>
    <sheet name="Data cleaning" sheetId="2" r:id="rId2"/>
    <sheet name="Pivort Tables" sheetId="8" r:id="rId3"/>
    <sheet name="Dashboard" sheetId="9" r:id="rId4"/>
  </sheets>
  <definedNames>
    <definedName name="ExternalData_1" localSheetId="1" hidden="1">'Data cleaning'!$A$1:$M$203</definedName>
    <definedName name="Slicer_Department">#N/A</definedName>
    <definedName name="Slicer_Gender">#N/A</definedName>
    <definedName name="Slicer_JobRole">#N/A</definedName>
  </definedNames>
  <calcPr calcId="181029" calcMode="manual"/>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02" i="2" l="1"/>
  <c r="G202" i="2"/>
  <c r="A202" i="2"/>
  <c r="M2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46D22-D6B0-42E2-86B7-B7A9F75F0DAB}" keepAlive="1" name="Query - HR_Dashboard_Data" description="Connection to the 'HR_Dashboard_Data' query in the workbook." type="5" refreshedVersion="8" background="1" saveData="1">
    <dbPr connection="Provider=Microsoft.Mashup.OleDb.1;Data Source=$Workbook$;Location=HR_Dashboard_Data;Extended Properties=&quot;&quot;" command="SELECT * FROM [HR_Dashboard_Data]"/>
  </connection>
</connections>
</file>

<file path=xl/sharedStrings.xml><?xml version="1.0" encoding="utf-8"?>
<sst xmlns="http://schemas.openxmlformats.org/spreadsheetml/2006/main" count="2061" uniqueCount="250">
  <si>
    <t>EmployeeID</t>
  </si>
  <si>
    <t>Department</t>
  </si>
  <si>
    <t>JobRole</t>
  </si>
  <si>
    <t>Gender</t>
  </si>
  <si>
    <t>Age</t>
  </si>
  <si>
    <t>YearsAtCompany</t>
  </si>
  <si>
    <t>MonthlySalary</t>
  </si>
  <si>
    <t>PerformanceRating</t>
  </si>
  <si>
    <t>TrainingHours</t>
  </si>
  <si>
    <t>ProjectsCompleted</t>
  </si>
  <si>
    <t>WorkLifeBalance</t>
  </si>
  <si>
    <t>JobSatisfaction</t>
  </si>
  <si>
    <t>Attrition</t>
  </si>
  <si>
    <t>E001</t>
  </si>
  <si>
    <t>Marketing</t>
  </si>
  <si>
    <t>SEO Specialist</t>
  </si>
  <si>
    <t>Female</t>
  </si>
  <si>
    <t>No</t>
  </si>
  <si>
    <t>E002</t>
  </si>
  <si>
    <t>Operations</t>
  </si>
  <si>
    <t>Operations Executive</t>
  </si>
  <si>
    <t>E003</t>
  </si>
  <si>
    <t>Logistics Coordinator</t>
  </si>
  <si>
    <t>E004</t>
  </si>
  <si>
    <t>Finance</t>
  </si>
  <si>
    <t>Financial Analyst</t>
  </si>
  <si>
    <t>E005</t>
  </si>
  <si>
    <t>E006</t>
  </si>
  <si>
    <t>Sales</t>
  </si>
  <si>
    <t>Sales Executive</t>
  </si>
  <si>
    <t>Male</t>
  </si>
  <si>
    <t>E007</t>
  </si>
  <si>
    <t>Operations Manager</t>
  </si>
  <si>
    <t>Yes</t>
  </si>
  <si>
    <t>E008</t>
  </si>
  <si>
    <t>IT</t>
  </si>
  <si>
    <t>QA Engineer</t>
  </si>
  <si>
    <t>E009</t>
  </si>
  <si>
    <t>Content Strategist</t>
  </si>
  <si>
    <t>E010</t>
  </si>
  <si>
    <t>E011</t>
  </si>
  <si>
    <t>Software Engineer</t>
  </si>
  <si>
    <t>E012</t>
  </si>
  <si>
    <t>HR</t>
  </si>
  <si>
    <t>Recruiter</t>
  </si>
  <si>
    <t>E013</t>
  </si>
  <si>
    <t>Sales Manager</t>
  </si>
  <si>
    <t>E014</t>
  </si>
  <si>
    <t>E015</t>
  </si>
  <si>
    <t>Marketing Executive</t>
  </si>
  <si>
    <t>E016</t>
  </si>
  <si>
    <t>E017</t>
  </si>
  <si>
    <t>Accountant</t>
  </si>
  <si>
    <t>E018</t>
  </si>
  <si>
    <t>E019</t>
  </si>
  <si>
    <t>E020</t>
  </si>
  <si>
    <t>E021</t>
  </si>
  <si>
    <t>E022</t>
  </si>
  <si>
    <t>E023</t>
  </si>
  <si>
    <t>HR Manager</t>
  </si>
  <si>
    <t>E024</t>
  </si>
  <si>
    <t>Account Manager</t>
  </si>
  <si>
    <t>E025</t>
  </si>
  <si>
    <t>E026</t>
  </si>
  <si>
    <t>E027</t>
  </si>
  <si>
    <t>Finance Manager</t>
  </si>
  <si>
    <t>E028</t>
  </si>
  <si>
    <t>E029</t>
  </si>
  <si>
    <t>E030</t>
  </si>
  <si>
    <t>E031</t>
  </si>
  <si>
    <t>E032</t>
  </si>
  <si>
    <t>E033</t>
  </si>
  <si>
    <t>HR Executive</t>
  </si>
  <si>
    <t>E034</t>
  </si>
  <si>
    <t>E035</t>
  </si>
  <si>
    <t>E036</t>
  </si>
  <si>
    <t>E037</t>
  </si>
  <si>
    <t>E038</t>
  </si>
  <si>
    <t>E039</t>
  </si>
  <si>
    <t>E040</t>
  </si>
  <si>
    <t>E041</t>
  </si>
  <si>
    <t>E042</t>
  </si>
  <si>
    <t>E043</t>
  </si>
  <si>
    <t>System Admin</t>
  </si>
  <si>
    <t>E044</t>
  </si>
  <si>
    <t>E045</t>
  </si>
  <si>
    <t>E046</t>
  </si>
  <si>
    <t>E047</t>
  </si>
  <si>
    <t>Data Analyst</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</si>
  <si>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</si>
  <si>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</si>
  <si>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</si>
  <si>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</si>
  <si>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</si>
  <si>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</si>
  <si>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</si>
  <si>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</si>
  <si>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</si>
  <si>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</si>
  <si>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</si>
  <si>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</si>
  <si>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</si>
  <si>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</si>
  <si>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</si>
  <si>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</si>
  <si>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</si>
  <si>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</si>
  <si>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</si>
  <si>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</si>
  <si>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</si>
  <si>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</si>
  <si>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</si>
  <si>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</si>
  <si>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</si>
  <si>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</si>
  <si>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</si>
  <si>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</si>
  <si>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</si>
  <si>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</si>
  <si>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</si>
  <si>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</si>
  <si>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</si>
  <si>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</si>
  <si>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</si>
  <si>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</si>
  <si>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</si>
  <si>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</si>
  <si>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</si>
  <si>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</si>
  <si>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</si>
  <si>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</si>
  <si>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</si>
  <si>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</si>
  <si>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</si>
  <si>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</si>
  <si>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</si>
  <si>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</si>
  <si>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</si>
  <si>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</si>
  <si>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</si>
  <si>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</si>
  <si>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</si>
  <si>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</si>
  <si>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</si>
  <si>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</si>
  <si>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</si>
  <si>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</si>
  <si>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</si>
  <si>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</si>
  <si>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</si>
  <si>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</si>
  <si>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</si>
  <si>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</si>
  <si>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</si>
  <si>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</si>
  <si>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</si>
  <si>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</si>
  <si>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</si>
  <si>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</si>
  <si>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</si>
  <si>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</si>
  <si>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</si>
  <si>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</si>
  <si>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</si>
  <si>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</si>
  <si>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</si>
  <si>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</si>
  <si>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</si>
  <si>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</si>
  <si>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</si>
  <si>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</si>
  <si>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</si>
  <si>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</si>
  <si>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</si>
  <si>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</si>
  <si>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</si>
  <si>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</si>
  <si>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</si>
  <si>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</si>
  <si>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</si>
  <si>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</si>
  <si>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</si>
  <si>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</si>
  <si>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</si>
  <si>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</si>
  <si>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</si>
  <si>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</si>
  <si>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</si>
  <si>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</si>
  <si>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</si>
  <si>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</si>
  <si>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</si>
  <si>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</si>
  <si>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</si>
  <si>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</si>
  <si>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</si>
  <si>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</si>
  <si>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</si>
  <si>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</si>
  <si>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</si>
  <si>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</si>
  <si>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</si>
  <si>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</si>
  <si>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</si>
  <si>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</si>
  <si>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</si>
  <si>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</si>
  <si>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</si>
  <si>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</si>
  <si>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</si>
  <si>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</si>
  <si>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</si>
  <si>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</si>
  <si>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</si>
  <si>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</si>
  <si>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</si>
  <si>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</si>
  <si>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</si>
  <si>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</si>
  <si>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</si>
  <si>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</si>
  <si>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</si>
  <si>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</si>
  <si>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</si>
  <si>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</si>
  <si>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</si>
  <si>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</si>
  <si>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</si>
  <si>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</si>
  <si>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</si>
  <si>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</si>
  <si>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</si>
  <si>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</si>
  <si>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</si>
  <si>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</si>
  <si>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</si>
  <si>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</si>
  <si>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</si>
  <si>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</si>
  <si>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</si>
  <si>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</si>
  <si>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</si>
  <si>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Sum of PerformanceRating</t>
  </si>
  <si>
    <t>Average of PerformanceRating</t>
  </si>
  <si>
    <t>(blank)</t>
  </si>
  <si>
    <t>Grand Total</t>
  </si>
  <si>
    <t>Row Labels</t>
  </si>
  <si>
    <t>Count of EmployeeID</t>
  </si>
  <si>
    <t>Sum of TrainingHours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</si>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</sst>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9" fontId="0" fillId="0" borderId="0" xfId="1" applyFont="1"/>
  </cellXfs>
  <cellStyles count="2">
    <cellStyle name="Normal" xfId="0" builtinId="0"/>
    <cellStyle name="Percent" xfId="1" builtinId="5"/>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 Tables'!$B$3</c:f>
              <c:strCache>
                <c:ptCount val="1"/>
                <c:pt idx="0">
                  <c:v>Total</c:v>
                </c:pt>
              </c:strCache>
            </c:strRef>
          </c:tx>
          <c:spPr>
            <a:solidFill>
              <a:schemeClr val="accent1"/>
            </a:solidFill>
            <a:ln w="25400">
              <a:solidFill>
                <a:schemeClr val="lt1"/>
              </a:solidFill>
            </a:ln>
            <a:effectLst/>
            <a:sp3d contourW="25400">
              <a:contourClr>
                <a:schemeClr val="lt1"/>
              </a:contourClr>
            </a:sp3d>
          </c:spPr>
          <c:invertIfNegative val="0"/>
          <c:dPt>
            <c:idx val="0"/>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EE1-4907-BF11-D6A284EE0132}"/>
              </c:ext>
            </c:extLst>
          </c:dPt>
          <c:dPt>
            <c:idx val="1"/>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DEE1-4907-BF11-D6A284EE0132}"/>
              </c:ext>
            </c:extLst>
          </c:dPt>
          <c:dPt>
            <c:idx val="2"/>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DEE1-4907-BF11-D6A284EE0132}"/>
              </c:ext>
            </c:extLst>
          </c:dPt>
          <c:dPt>
            <c:idx val="3"/>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DEE1-4907-BF11-D6A284EE0132}"/>
              </c:ext>
            </c:extLst>
          </c:dPt>
          <c:dPt>
            <c:idx val="4"/>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DEE1-4907-BF11-D6A284EE0132}"/>
              </c:ext>
            </c:extLst>
          </c:dPt>
          <c:dPt>
            <c:idx val="5"/>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DEE1-4907-BF11-D6A284EE0132}"/>
              </c:ext>
            </c:extLst>
          </c:dPt>
          <c:dPt>
            <c:idx val="6"/>
            <c:invertIfNegative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DEE1-4907-BF11-D6A284EE0132}"/>
              </c:ext>
            </c:extLst>
          </c:dPt>
          <c:cat>
            <c:strRef>
              <c:f>'Pivort Tables'!$A$4:$A$11</c:f>
              <c:strCache>
                <c:ptCount val="7"/>
                <c:pt idx="0">
                  <c:v>Finance</c:v>
                </c:pt>
                <c:pt idx="1">
                  <c:v>HR</c:v>
                </c:pt>
                <c:pt idx="2">
                  <c:v>IT</c:v>
                </c:pt>
                <c:pt idx="3">
                  <c:v>Marketing</c:v>
                </c:pt>
                <c:pt idx="4">
                  <c:v>Operations</c:v>
                </c:pt>
                <c:pt idx="5">
                  <c:v>Sales</c:v>
                </c:pt>
                <c:pt idx="6">
                  <c:v>(blank)</c:v>
                </c:pt>
              </c:strCache>
            </c:strRef>
          </c:cat>
          <c:val>
            <c:numRef>
              <c:f>'Pivort Tables'!$B$4:$B$11</c:f>
              <c:numCache>
                <c:formatCode>General</c:formatCode>
                <c:ptCount val="7"/>
                <c:pt idx="0">
                  <c:v>3.096774193548387</c:v>
                </c:pt>
                <c:pt idx="1">
                  <c:v>2.7391304347826089</c:v>
                </c:pt>
                <c:pt idx="2">
                  <c:v>2.7222222222222223</c:v>
                </c:pt>
                <c:pt idx="3">
                  <c:v>3</c:v>
                </c:pt>
                <c:pt idx="4">
                  <c:v>3.3157894736842106</c:v>
                </c:pt>
                <c:pt idx="5">
                  <c:v>3.0526315789473686</c:v>
                </c:pt>
              </c:numCache>
            </c:numRef>
          </c:val>
          <c:extLst>
            <c:ext xmlns:c16="http://schemas.microsoft.com/office/drawing/2014/chart" uri="{C3380CC4-5D6E-409C-BE32-E72D297353CC}">
              <c16:uniqueId val="{00000000-7AF2-457C-BE79-DF8DA9ACAE30}"/>
            </c:ext>
          </c:extLst>
        </c:ser>
        <c:dLbls>
          <c:showLegendKey val="0"/>
          <c:showVal val="0"/>
          <c:showCatName val="0"/>
          <c:showSerName val="0"/>
          <c:showPercent val="0"/>
          <c:showBubbleSize val="0"/>
        </c:dLbls>
        <c:gapWidth val="150"/>
        <c:shape val="box"/>
        <c:axId val="387896584"/>
        <c:axId val="387896944"/>
        <c:axId val="0"/>
      </c:bar3DChart>
      <c:catAx>
        <c:axId val="387896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96944"/>
        <c:auto val="1"/>
        <c:lblAlgn val="ctr"/>
        <c:lblOffset val="100"/>
        <c:noMultiLvlLbl val="0"/>
      </c:catAx>
      <c:valAx>
        <c:axId val="3878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9658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'Pivort 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C-49F5-93E7-689E05314A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C-49F5-93E7-689E05314A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5C-49F5-93E7-689E05314A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5C-49F5-93E7-689E05314A5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5C-49F5-93E7-689E05314A5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D5C-49F5-93E7-689E05314A5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D5C-49F5-93E7-689E05314A55}"/>
              </c:ext>
            </c:extLst>
          </c:dPt>
          <c:cat>
            <c:strRef>
              <c:f>'Pivort Tables'!$A$15:$A$22</c:f>
              <c:strCache>
                <c:ptCount val="7"/>
                <c:pt idx="0">
                  <c:v>Finance</c:v>
                </c:pt>
                <c:pt idx="1">
                  <c:v>HR</c:v>
                </c:pt>
                <c:pt idx="2">
                  <c:v>IT</c:v>
                </c:pt>
                <c:pt idx="3">
                  <c:v>Marketing</c:v>
                </c:pt>
                <c:pt idx="4">
                  <c:v>Operations</c:v>
                </c:pt>
                <c:pt idx="5">
                  <c:v>Sales</c:v>
                </c:pt>
                <c:pt idx="6">
                  <c:v>(blank)</c:v>
                </c:pt>
              </c:strCache>
            </c:strRef>
          </c:cat>
          <c:val>
            <c:numRef>
              <c:f>'Pivort Tables'!$B$15:$B$22</c:f>
              <c:numCache>
                <c:formatCode>General</c:formatCode>
                <c:ptCount val="7"/>
                <c:pt idx="0">
                  <c:v>31</c:v>
                </c:pt>
                <c:pt idx="1">
                  <c:v>23</c:v>
                </c:pt>
                <c:pt idx="2">
                  <c:v>36</c:v>
                </c:pt>
                <c:pt idx="3">
                  <c:v>34</c:v>
                </c:pt>
                <c:pt idx="4">
                  <c:v>38</c:v>
                </c:pt>
                <c:pt idx="5">
                  <c:v>38</c:v>
                </c:pt>
              </c:numCache>
            </c:numRef>
          </c:val>
          <c:extLst>
            <c:ext xmlns:c16="http://schemas.microsoft.com/office/drawing/2014/chart" uri="{C3380CC4-5D6E-409C-BE32-E72D297353CC}">
              <c16:uniqueId val="{00000000-53CA-4D5B-BA42-F625E949F0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'Pivort Tables'!$I$3</c:f>
              <c:strCache>
                <c:ptCount val="1"/>
                <c:pt idx="0">
                  <c:v>Sum of PerformanceRating</c:v>
                </c:pt>
              </c:strCache>
            </c:strRef>
          </c:tx>
          <c:spPr>
            <a:solidFill>
              <a:schemeClr val="accent1"/>
            </a:solidFill>
            <a:ln>
              <a:noFill/>
            </a:ln>
            <a:effectLst/>
            <a:sp3d/>
          </c:spPr>
          <c:invertIfNegative val="0"/>
          <c:cat>
            <c:strRef>
              <c:f>'Pivort Tables'!$I$4</c:f>
              <c:strCache>
                <c:ptCount val="1"/>
                <c:pt idx="0">
                  <c:v>Total</c:v>
                </c:pt>
              </c:strCache>
            </c:strRef>
          </c:cat>
          <c:val>
            <c:numRef>
              <c:f>'Pivort Tables'!$I$4</c:f>
              <c:numCache>
                <c:formatCode>General</c:formatCode>
                <c:ptCount val="1"/>
                <c:pt idx="0">
                  <c:v>601</c:v>
                </c:pt>
              </c:numCache>
            </c:numRef>
          </c:val>
          <c:extLst>
            <c:ext xmlns:c16="http://schemas.microsoft.com/office/drawing/2014/chart" uri="{C3380CC4-5D6E-409C-BE32-E72D297353CC}">
              <c16:uniqueId val="{00000000-4209-41BE-B751-003D9C3451B3}"/>
            </c:ext>
          </c:extLst>
        </c:ser>
        <c:ser>
          <c:idx val="1"/>
          <c:order val="1"/>
          <c:tx>
            <c:strRef>
              <c:f>'Pivort Tables'!$J$3</c:f>
              <c:strCache>
                <c:ptCount val="1"/>
                <c:pt idx="0">
                  <c:v>Sum of TrainingHours</c:v>
                </c:pt>
              </c:strCache>
            </c:strRef>
          </c:tx>
          <c:spPr>
            <a:solidFill>
              <a:schemeClr val="accent2"/>
            </a:solidFill>
            <a:ln>
              <a:noFill/>
            </a:ln>
            <a:effectLst/>
            <a:sp3d/>
          </c:spPr>
          <c:invertIfNegative val="0"/>
          <c:cat>
            <c:strRef>
              <c:f>'Pivort Tables'!$I$4</c:f>
              <c:strCache>
                <c:ptCount val="1"/>
                <c:pt idx="0">
                  <c:v>Total</c:v>
                </c:pt>
              </c:strCache>
            </c:strRef>
          </c:cat>
          <c:val>
            <c:numRef>
              <c:f>'Pivort Tables'!$J$4</c:f>
              <c:numCache>
                <c:formatCode>General</c:formatCode>
                <c:ptCount val="1"/>
                <c:pt idx="0">
                  <c:v>6771</c:v>
                </c:pt>
              </c:numCache>
            </c:numRef>
          </c:val>
          <c:extLst>
            <c:ext xmlns:c16="http://schemas.microsoft.com/office/drawing/2014/chart" uri="{C3380CC4-5D6E-409C-BE32-E72D297353CC}">
              <c16:uniqueId val="{00000001-4209-41BE-B751-003D9C3451B3}"/>
            </c:ext>
          </c:extLst>
        </c:ser>
        <c:dLbls>
          <c:showLegendKey val="0"/>
          <c:showVal val="0"/>
          <c:showCatName val="0"/>
          <c:showSerName val="0"/>
          <c:showPercent val="0"/>
          <c:showBubbleSize val="0"/>
        </c:dLbls>
        <c:gapWidth val="150"/>
        <c:shape val="box"/>
        <c:axId val="382145184"/>
        <c:axId val="382150584"/>
        <c:axId val="0"/>
      </c:bar3DChart>
      <c:catAx>
        <c:axId val="38214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50584"/>
        <c:crosses val="autoZero"/>
        <c:auto val="1"/>
        <c:lblAlgn val="ctr"/>
        <c:lblOffset val="100"/>
        <c:noMultiLvlLbl val="0"/>
      </c:catAx>
      <c:valAx>
        <c:axId val="382150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 Tables'!$J$14</c:f>
              <c:strCache>
                <c:ptCount val="1"/>
                <c:pt idx="0">
                  <c:v>Total</c:v>
                </c:pt>
              </c:strCache>
            </c:strRef>
          </c:tx>
          <c:spPr>
            <a:solidFill>
              <a:schemeClr val="accent1"/>
            </a:solidFill>
            <a:ln>
              <a:noFill/>
            </a:ln>
            <a:effectLst/>
            <a:sp3d/>
          </c:spPr>
          <c:invertIfNegative val="0"/>
          <c:cat>
            <c:strRef>
              <c:f>'Pivort Tables'!$I$15:$I$22</c:f>
              <c:strCache>
                <c:ptCount val="7"/>
                <c:pt idx="0">
                  <c:v>Finance</c:v>
                </c:pt>
                <c:pt idx="1">
                  <c:v>HR</c:v>
                </c:pt>
                <c:pt idx="2">
                  <c:v>IT</c:v>
                </c:pt>
                <c:pt idx="3">
                  <c:v>Marketing</c:v>
                </c:pt>
                <c:pt idx="4">
                  <c:v>Operations</c:v>
                </c:pt>
                <c:pt idx="5">
                  <c:v>Sales</c:v>
                </c:pt>
                <c:pt idx="6">
                  <c:v>(blank)</c:v>
                </c:pt>
              </c:strCache>
            </c:strRef>
          </c:cat>
          <c:val>
            <c:numRef>
              <c:f>'Pivort Tables'!$J$15:$J$22</c:f>
              <c:numCache>
                <c:formatCode>General</c:formatCode>
                <c:ptCount val="7"/>
                <c:pt idx="0">
                  <c:v>31</c:v>
                </c:pt>
                <c:pt idx="1">
                  <c:v>23</c:v>
                </c:pt>
                <c:pt idx="2">
                  <c:v>36</c:v>
                </c:pt>
                <c:pt idx="3">
                  <c:v>34</c:v>
                </c:pt>
                <c:pt idx="4">
                  <c:v>38</c:v>
                </c:pt>
                <c:pt idx="5">
                  <c:v>38</c:v>
                </c:pt>
              </c:numCache>
            </c:numRef>
          </c:val>
          <c:extLst>
            <c:ext xmlns:c16="http://schemas.microsoft.com/office/drawing/2014/chart" uri="{C3380CC4-5D6E-409C-BE32-E72D297353CC}">
              <c16:uniqueId val="{00000000-0A36-445D-888C-06D112F21FFA}"/>
            </c:ext>
          </c:extLst>
        </c:ser>
        <c:dLbls>
          <c:showLegendKey val="0"/>
          <c:showVal val="0"/>
          <c:showCatName val="0"/>
          <c:showSerName val="0"/>
          <c:showPercent val="0"/>
          <c:showBubbleSize val="0"/>
        </c:dLbls>
        <c:gapWidth val="150"/>
        <c:shape val="box"/>
        <c:axId val="1197676296"/>
        <c:axId val="1197673416"/>
        <c:axId val="0"/>
      </c:bar3DChart>
      <c:catAx>
        <c:axId val="1197676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73416"/>
        <c:crosses val="autoZero"/>
        <c:auto val="1"/>
        <c:lblAlgn val="ctr"/>
        <c:lblOffset val="100"/>
        <c:noMultiLvlLbl val="0"/>
      </c:catAx>
      <c:valAx>
        <c:axId val="1197673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676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Tables!PivotTable1</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Tables'!$P$3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'Pivort Tables'!$O$4:$O$20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'Pivort Tables'!$P$4:$P$20</c:f>
              <c:numCache>
                <c:formatCode>General</c:formatCode>
                <c:ptCount val="16"/>
                <c:pt idx="0">
                  <c:v>12</c:v>
                </c:pt>
                <c:pt idx="1">
                  <c:v>14</c:v>
                </c:pt>
                <c:pt idx="2">
                  <c:v>13</c:v>
                </c:pt>
                <c:pt idx="3">
                  <c:v>16</c:v>
                </c:pt>
                <c:pt idx="4">
                  <c:v>11</c:v>
                </c:pt>
                <c:pt idx="5">
                  <c:v>15</c:v>
                </c:pt>
                <c:pt idx="6">
                  <c:v>7</c:v>
                </c:pt>
                <c:pt idx="7">
                  <c:v>13</c:v>
                </c:pt>
                <c:pt idx="8">
                  <c:v>11</c:v>
                </c:pt>
                <c:pt idx="9">
                  <c:v>10</c:v>
                </c:pt>
                <c:pt idx="10">
                  <c:v>17</c:v>
                </c:pt>
                <c:pt idx="11">
                  <c:v>11</c:v>
                </c:pt>
                <c:pt idx="12">
                  <c:v>13</c:v>
                </c:pt>
                <c:pt idx="13">
                  <c:v>8</c:v>
                </c:pt>
                <c:pt idx="14">
                  <c:v>12</c:v>
                </c:pt>
                <c:pt idx="15">
                  <c:v>17</c:v>
                </c:pt>
              </c:numCache>
            </c:numRef>
          </c:val>
          <c:smooth val="0"/>
          <c:extLst>
            <c:ext xmlns:c16="http://schemas.microsoft.com/office/drawing/2014/chart" uri="{C3380CC4-5D6E-409C-BE32-E72D297353CC}">
              <c16:uniqueId val="{00000000-E3B9-4A40-96E1-34AFAF9F0DC1}"/>
            </c:ext>
          </c:extLst>
        </c:ser>
        <c:dLbls>
          <c:showLegendKey val="0"/>
          <c:showVal val="0"/>
          <c:showCatName val="0"/>
          <c:showSerName val="0"/>
          <c:showPercent val="0"/>
          <c:showBubbleSize val="0"/>
        </c:dLbls>
        <c:marker val="1"/>
        <c:smooth val="0"/>
        <c:axId val="380467144"/>
        <c:axId val="380467504"/>
      </c:lineChart>
      <c:catAx>
        <c:axId val="38046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67504"/>
        <c:crosses val="autoZero"/>
        <c:auto val="1"/>
        <c:lblAlgn val="ctr"/>
        <c:lblOffset val="100"/>
        <c:noMultiLvlLbl val="0"/>
      </c:catAx>
      <c:valAx>
        <c:axId val="38046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67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Tables!PivotTable6</c:name>
    <c:fmtId val="4"/>
  </c:pivotSource>
  <c:chart>
    <c:title>
      <c:tx>
        <c:rich>
          <a:bodyPr rot="0" spcFirstLastPara="1" vertOverflow="ellipsis" vert="horz" wrap="square" anchor="ctr" anchorCtr="1"/>
          <a:lstStyle/>
          <a:p>
            <a:pPr algn="ctr">
              <a:defRPr sz="14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400"/>
              <a:t>Employees by Department </a:t>
            </a:r>
          </a:p>
        </c:rich>
      </c:tx>
      <c:layout>
        <c:manualLayout>
          <c:xMode val="edge"/>
          <c:yMode val="edge"/>
          <c:x val="0.11601784266017842"/>
          <c:y val="4.3859755932570292E-2"/>
        </c:manualLayout>
      </c:layout>
      <c:overlay val="0"/>
      <c:spPr>
        <a:noFill/>
        <a:ln>
          <a:noFill/>
        </a:ln>
        <a:effectLst/>
      </c:spPr>
      <c:txPr>
        <a:bodyPr rot="0" spcFirstLastPara="1" vertOverflow="ellipsis" vert="horz" wrap="square" anchor="ctr" anchorCtr="1"/>
        <a:lstStyle/>
        <a:p>
          <a:pPr algn="ctr">
            <a:defRPr sz="14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566980222362715"/>
          <c:y val="0.24300419201154358"/>
          <c:w val="0.37027575020275749"/>
          <c:h val="0.72124802527646126"/>
        </c:manualLayout>
      </c:layout>
      <c:doughnutChart>
        <c:varyColors val="1"/>
        <c:ser>
          <c:idx val="0"/>
          <c:order val="0"/>
          <c:tx>
            <c:strRef>
              <c:f>'Pivort Tables'!$B$14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B9-41AC-9B3D-AB7A47E5257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DB9-41AC-9B3D-AB7A47E5257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DB9-41AC-9B3D-AB7A47E5257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DB9-41AC-9B3D-AB7A47E5257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DB9-41AC-9B3D-AB7A47E5257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DB9-41AC-9B3D-AB7A47E5257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DB9-41AC-9B3D-AB7A47E5257C}"/>
              </c:ext>
            </c:extLst>
          </c:dPt>
          <c:cat>
            <c:strRef>
              <c:f>'Pivort Tables'!$A$15:$A$22</c:f>
              <c:strCache>
                <c:ptCount val="7"/>
                <c:pt idx="0">
                  <c:v>Finance</c:v>
                </c:pt>
                <c:pt idx="1">
                  <c:v>HR</c:v>
                </c:pt>
                <c:pt idx="2">
                  <c:v>IT</c:v>
                </c:pt>
                <c:pt idx="3">
                  <c:v>Marketing</c:v>
                </c:pt>
                <c:pt idx="4">
                  <c:v>Operations</c:v>
                </c:pt>
                <c:pt idx="5">
                  <c:v>Sales</c:v>
                </c:pt>
                <c:pt idx="6">
                  <c:v>(blank)</c:v>
                </c:pt>
              </c:strCache>
            </c:strRef>
          </c:cat>
          <c:val>
            <c:numRef>
              <c:f>'Pivort Tables'!$B$15:$B$22</c:f>
              <c:numCache>
                <c:formatCode>General</c:formatCode>
                <c:ptCount val="7"/>
                <c:pt idx="0">
                  <c:v>31</c:v>
                </c:pt>
                <c:pt idx="1">
                  <c:v>23</c:v>
                </c:pt>
                <c:pt idx="2">
                  <c:v>36</c:v>
                </c:pt>
                <c:pt idx="3">
                  <c:v>34</c:v>
                </c:pt>
                <c:pt idx="4">
                  <c:v>38</c:v>
                </c:pt>
                <c:pt idx="5">
                  <c:v>38</c:v>
                </c:pt>
              </c:numCache>
            </c:numRef>
          </c:val>
          <c:extLst>
            <c:ext xmlns:c16="http://schemas.microsoft.com/office/drawing/2014/chart" uri="{C3380CC4-5D6E-409C-BE32-E72D297353CC}">
              <c16:uniqueId val="{0000000E-9DB9-41AC-9B3D-AB7A47E525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6"/>
        <c:delete val="1"/>
      </c:legendEntry>
      <c:layout>
        <c:manualLayout>
          <c:xMode val="edge"/>
          <c:yMode val="edge"/>
          <c:x val="0.67322930436615136"/>
          <c:y val="0.26980383376248585"/>
          <c:w val="0.30243979539053967"/>
          <c:h val="0.66647385901406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solidFill>
      <a:prstDash val="lgDash"/>
      <a:round/>
      <a:headEnd type="none" w="med" len="med"/>
      <a:tailEnd type="none" w="med" len="me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75571713822853"/>
          <c:y val="0.23809523809523808"/>
          <c:w val="0.39939814640394833"/>
          <c:h val="0.61655220728987825"/>
        </c:manualLayout>
      </c:layout>
      <c:bar3DChart>
        <c:barDir val="col"/>
        <c:grouping val="clustered"/>
        <c:varyColors val="0"/>
        <c:ser>
          <c:idx val="0"/>
          <c:order val="0"/>
          <c:tx>
            <c:strRef>
              <c:f>'Pivort Tables'!$I$3</c:f>
              <c:strCache>
                <c:ptCount val="1"/>
                <c:pt idx="0">
                  <c:v>Sum of PerformanceRating</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'Pivort Tables'!$I$4</c:f>
              <c:strCache>
                <c:ptCount val="1"/>
                <c:pt idx="0">
                  <c:v>Total</c:v>
                </c:pt>
              </c:strCache>
            </c:strRef>
          </c:cat>
          <c:val>
            <c:numRef>
              <c:f>'Pivort Tables'!$I$4</c:f>
              <c:numCache>
                <c:formatCode>General</c:formatCode>
                <c:ptCount val="1"/>
                <c:pt idx="0">
                  <c:v>601</c:v>
                </c:pt>
              </c:numCache>
            </c:numRef>
          </c:val>
          <c:extLst>
            <c:ext xmlns:c16="http://schemas.microsoft.com/office/drawing/2014/chart" uri="{C3380CC4-5D6E-409C-BE32-E72D297353CC}">
              <c16:uniqueId val="{00000000-16DE-4305-B099-BB28BC48A92B}"/>
            </c:ext>
          </c:extLst>
        </c:ser>
        <c:ser>
          <c:idx val="1"/>
          <c:order val="1"/>
          <c:tx>
            <c:strRef>
              <c:f>'Pivort Tables'!$J$3</c:f>
              <c:strCache>
                <c:ptCount val="1"/>
                <c:pt idx="0">
                  <c:v>Sum of TrainingHours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'Pivort Tables'!$I$4</c:f>
              <c:strCache>
                <c:ptCount val="1"/>
                <c:pt idx="0">
                  <c:v>Total</c:v>
                </c:pt>
              </c:strCache>
            </c:strRef>
          </c:cat>
          <c:val>
            <c:numRef>
              <c:f>'Pivort Tables'!$J$4</c:f>
              <c:numCache>
                <c:formatCode>General</c:formatCode>
                <c:ptCount val="1"/>
                <c:pt idx="0">
                  <c:v>6771</c:v>
                </c:pt>
              </c:numCache>
            </c:numRef>
          </c:val>
          <c:extLst>
            <c:ext xmlns:c16="http://schemas.microsoft.com/office/drawing/2014/chart" uri="{C3380CC4-5D6E-409C-BE32-E72D297353CC}">
              <c16:uniqueId val="{00000001-16DE-4305-B099-BB28BC48A92B}"/>
            </c:ext>
          </c:extLst>
        </c:ser>
        <c:dLbls>
          <c:showLegendKey val="0"/>
          <c:showVal val="0"/>
          <c:showCatName val="0"/>
          <c:showSerName val="0"/>
          <c:showPercent val="0"/>
          <c:showBubbleSize val="0"/>
        </c:dLbls>
        <c:gapWidth val="160"/>
        <c:gapDepth val="0"/>
        <c:shape val="box"/>
        <c:axId val="382145184"/>
        <c:axId val="382150584"/>
        <c:axId val="0"/>
      </c:bar3DChart>
      <c:catAx>
        <c:axId val="3821451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50584"/>
        <c:crosses val="autoZero"/>
        <c:auto val="1"/>
        <c:lblAlgn val="ctr"/>
        <c:lblOffset val="100"/>
        <c:noMultiLvlLbl val="0"/>
      </c:catAx>
      <c:valAx>
        <c:axId val="3821505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45184"/>
        <c:crosses val="autoZero"/>
        <c:crossBetween val="between"/>
      </c:valAx>
      <c:spPr>
        <a:noFill/>
        <a:ln>
          <a:noFill/>
        </a:ln>
        <a:effectLst/>
      </c:spPr>
    </c:plotArea>
    <c:legend>
      <c:legendPos val="r"/>
      <c:layout>
        <c:manualLayout>
          <c:xMode val="edge"/>
          <c:yMode val="edge"/>
          <c:x val="0.63101351266498396"/>
          <c:y val="0.52960353640005531"/>
          <c:w val="0.34506304235893959"/>
          <c:h val="0.391606970181358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[hr_dashboard_dataset_200_rows.xlsx]Pivort Tables!PivotTable8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circle"/>
          <c:size val="6"/>
          <c:spPr>
            <a:solidFill>
              <a:schemeClr val="accent3">
                <a:alpha val="70000"/>
              </a:schemeClr>
            </a:solidFill>
            <a:ln>
              <a:solidFill>
                <a:schemeClr val="accent3">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39707907798655"/>
          <c:y val="0.24163568773234198"/>
          <c:w val="0.49871722408461316"/>
          <c:h val="0.61463278986037528"/>
        </c:manualLayout>
      </c:layout>
      <c:bar3DChart>
        <c:barDir val="bar"/>
        <c:grouping val="clustered"/>
        <c:varyColors val="0"/>
        <c:ser>
          <c:idx val="0"/>
          <c:order val="0"/>
          <c:tx>
            <c:strRef>
              <c:f>'Pivort Tables'!$J$14</c:f>
              <c:strCache>
                <c:ptCount val="1"/>
                <c:pt idx="0">
                  <c:v>Total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'Pivort Tables'!$I$15:$I$22</c:f>
              <c:strCache>
                <c:ptCount val="7"/>
                <c:pt idx="0">
                  <c:v>Finance</c:v>
                </c:pt>
                <c:pt idx="1">
                  <c:v>HR</c:v>
                </c:pt>
                <c:pt idx="2">
                  <c:v>IT</c:v>
                </c:pt>
                <c:pt idx="3">
                  <c:v>Marketing</c:v>
                </c:pt>
                <c:pt idx="4">
                  <c:v>Operations</c:v>
                </c:pt>
                <c:pt idx="5">
                  <c:v>Sales</c:v>
                </c:pt>
                <c:pt idx="6">
                  <c:v>(blank)</c:v>
                </c:pt>
              </c:strCache>
            </c:strRef>
          </c:cat>
          <c:val>
            <c:numRef>
              <c:f>'Pivort Tables'!$J$15:$J$22</c:f>
              <c:numCache>
                <c:formatCode>General</c:formatCode>
                <c:ptCount val="7"/>
                <c:pt idx="0">
                  <c:v>31</c:v>
                </c:pt>
                <c:pt idx="1">
                  <c:v>23</c:v>
                </c:pt>
                <c:pt idx="2">
                  <c:v>36</c:v>
                </c:pt>
                <c:pt idx="3">
                  <c:v>34</c:v>
                </c:pt>
                <c:pt idx="4">
                  <c:v>38</c:v>
                </c:pt>
                <c:pt idx="5">
                  <c:v>38</c:v>
                </c:pt>
              </c:numCache>
            </c:numRef>
          </c:val>
          <c:extLst>
            <c:ext xmlns:c16="http://schemas.microsoft.com/office/drawing/2014/chart" uri="{C3380CC4-5D6E-409C-BE32-E72D297353CC}">
              <c16:uniqueId val="{00000000-45FF-4E80-9072-00F29F07307D}"/>
            </c:ext>
          </c:extLst>
        </c:ser>
        <c:dLbls>
          <c:showLegendKey val="0"/>
          <c:showVal val="0"/>
          <c:showCatName val="0"/>
          <c:showSerName val="0"/>
          <c:showPercent val="0"/>
          <c:showBubbleSize val="0"/>
        </c:dLbls>
        <c:gapWidth val="150"/>
        <c:shape val="box"/>
        <c:axId val="1197676296"/>
        <c:axId val="1197673416"/>
        <c:axId val="0"/>
      </c:bar3DChart>
      <c:catAx>
        <c:axId val="1197676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7673416"/>
        <c:crosses val="autoZero"/>
        <c:auto val="1"/>
        <c:lblAlgn val="ctr"/>
        <c:lblOffset val="100"/>
        <c:noMultiLvlLbl val="0"/>
      </c:catAx>
      <c:valAx>
        <c:axId val="1197673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7676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[hr_dashboard_dataset_200_rows.xlsx]Pivort Tables!PivotTable1</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ysClr val="windowText" lastClr="000000"/>
                </a:solidFill>
              </a:rPr>
              <a:t>Attrition</a:t>
            </a:r>
            <a:r>
              <a:rPr lang="en-US" sz="1800" b="1" baseline="0">
                <a:solidFill>
                  <a:sysClr val="windowText" lastClr="000000"/>
                </a:solidFill>
              </a:rPr>
              <a:t> Vs Experience</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80488393014479E-2"/>
          <c:y val="0.2169542743938617"/>
          <c:w val="0.89702846331487718"/>
          <c:h val="0.58462052875574466"/>
        </c:manualLayout>
      </c:layout>
      <c:lineChart>
        <c:grouping val="standard"/>
        <c:varyColors val="0"/>
        <c:ser>
          <c:idx val="0"/>
          <c:order val="0"/>
          <c:tx>
            <c:strRef>
              <c:f>'Pivort Tables'!$P$3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'Pivort Tables'!$O$4:$O$20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'Pivort Tables'!$P$4:$P$20</c:f>
              <c:numCache>
                <c:formatCode>General</c:formatCode>
                <c:ptCount val="16"/>
                <c:pt idx="0">
                  <c:v>12</c:v>
                </c:pt>
                <c:pt idx="1">
                  <c:v>14</c:v>
                </c:pt>
                <c:pt idx="2">
                  <c:v>13</c:v>
                </c:pt>
                <c:pt idx="3">
                  <c:v>16</c:v>
                </c:pt>
                <c:pt idx="4">
                  <c:v>11</c:v>
                </c:pt>
                <c:pt idx="5">
                  <c:v>15</c:v>
                </c:pt>
                <c:pt idx="6">
                  <c:v>7</c:v>
                </c:pt>
                <c:pt idx="7">
                  <c:v>13</c:v>
                </c:pt>
                <c:pt idx="8">
                  <c:v>11</c:v>
                </c:pt>
                <c:pt idx="9">
                  <c:v>10</c:v>
                </c:pt>
                <c:pt idx="10">
                  <c:v>17</c:v>
                </c:pt>
                <c:pt idx="11">
                  <c:v>11</c:v>
                </c:pt>
                <c:pt idx="12">
                  <c:v>13</c:v>
                </c:pt>
                <c:pt idx="13">
                  <c:v>8</c:v>
                </c:pt>
                <c:pt idx="14">
                  <c:v>12</c:v>
                </c:pt>
                <c:pt idx="15">
                  <c:v>17</c:v>
                </c:pt>
              </c:numCache>
            </c:numRef>
          </c:val>
          <c:smooth val="0"/>
          <c:extLst>
            <c:ext xmlns:c16="http://schemas.microsoft.com/office/drawing/2014/chart" uri="{C3380CC4-5D6E-409C-BE32-E72D297353CC}">
              <c16:uniqueId val="{00000000-FCD5-45D6-BE5C-E02F6A13D3AB}"/>
            </c:ext>
          </c:extLst>
        </c:ser>
        <c:dLbls>
          <c:showLegendKey val="0"/>
          <c:showVal val="0"/>
          <c:showCatName val="0"/>
          <c:showSerName val="0"/>
          <c:showPercent val="0"/>
          <c:showBubbleSize val="0"/>
        </c:dLbls>
        <c:marker val="1"/>
        <c:smooth val="0"/>
        <c:axId val="380467144"/>
        <c:axId val="380467504"/>
      </c:lineChart>
      <c:catAx>
        <c:axId val="38046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67504"/>
        <c:crosses val="autoZero"/>
        <c:auto val="1"/>
        <c:lblAlgn val="ctr"/>
        <c:lblOffset val="100"/>
        <c:noMultiLvlLbl val="0"/>
      </c:catAx>
      <c:valAx>
        <c:axId val="38046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67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prstDash val="lgDash"/>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[hr_dashboard_dataset_200_rows.xlsx]Pivort Tables!PivotTable5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
        <c:idx val="2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57540884312537"/>
          <c:y val="0.30549519192197044"/>
          <c:w val="0.74189770943644451"/>
          <c:h val="0.33965317654070531"/>
        </c:manualLayout>
      </c:layout>
      <c:bar3DChart>
        <c:barDir val="col"/>
        <c:grouping val="clustered"/>
        <c:varyColors val="0"/>
        <c:ser>
          <c:idx val="0"/>
          <c:order val="0"/>
          <c:tx>
            <c:strRef>
              <c:f>'Pivort Tables'!$B$3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Pt>
            <c:idx val="0"/>
            <c:invertIfNegative val="0"/>
            <c:bubble3D val="0"/>
            <c:extLst>
              <c:ext xmlns:c16="http://schemas.microsoft.com/office/drawing/2014/chart" uri="{C3380CC4-5D6E-409C-BE32-E72D297353CC}">
                <c16:uniqueId val="{00000001-AA50-4D60-B038-664587364CDB}"/>
              </c:ext>
            </c:extLst>
          </c:dPt>
          <c:dPt>
            <c:idx val="1"/>
            <c:invertIfNegative val="0"/>
            <c:bubble3D val="0"/>
            <c:extLst>
              <c:ext xmlns:c16="http://schemas.microsoft.com/office/drawing/2014/chart" uri="{C3380CC4-5D6E-409C-BE32-E72D297353CC}">
                <c16:uniqueId val="{00000003-AA50-4D60-B038-664587364CDB}"/>
              </c:ext>
            </c:extLst>
          </c:dPt>
          <c:dPt>
            <c:idx val="2"/>
            <c:invertIfNegative val="0"/>
            <c:bubble3D val="0"/>
            <c:extLst>
              <c:ext xmlns:c16="http://schemas.microsoft.com/office/drawing/2014/chart" uri="{C3380CC4-5D6E-409C-BE32-E72D297353CC}">
                <c16:uniqueId val="{00000005-AA50-4D60-B038-664587364CDB}"/>
              </c:ext>
            </c:extLst>
          </c:dPt>
          <c:dPt>
            <c:idx val="3"/>
            <c:invertIfNegative val="0"/>
            <c:bubble3D val="0"/>
            <c:extLst>
              <c:ext xmlns:c16="http://schemas.microsoft.com/office/drawing/2014/chart" uri="{C3380CC4-5D6E-409C-BE32-E72D297353CC}">
                <c16:uniqueId val="{00000007-AA50-4D60-B038-664587364CDB}"/>
              </c:ext>
            </c:extLst>
          </c:dPt>
          <c:dPt>
            <c:idx val="4"/>
            <c:invertIfNegative val="0"/>
            <c:bubble3D val="0"/>
            <c:extLst>
              <c:ext xmlns:c16="http://schemas.microsoft.com/office/drawing/2014/chart" uri="{C3380CC4-5D6E-409C-BE32-E72D297353CC}">
                <c16:uniqueId val="{00000009-AA50-4D60-B038-664587364CDB}"/>
              </c:ext>
            </c:extLst>
          </c:dPt>
          <c:dPt>
            <c:idx val="5"/>
            <c:invertIfNegative val="0"/>
            <c:bubble3D val="0"/>
            <c:extLst>
              <c:ext xmlns:c16="http://schemas.microsoft.com/office/drawing/2014/chart" uri="{C3380CC4-5D6E-409C-BE32-E72D297353CC}">
                <c16:uniqueId val="{0000000B-AA50-4D60-B038-664587364CDB}"/>
              </c:ext>
            </c:extLst>
          </c:dPt>
          <c:dPt>
            <c:idx val="6"/>
            <c:invertIfNegative val="0"/>
            <c:bubble3D val="0"/>
            <c:extLst>
              <c:ext xmlns:c16="http://schemas.microsoft.com/office/drawing/2014/chart" uri="{C3380CC4-5D6E-409C-BE32-E72D297353CC}">
                <c16:uniqueId val="{0000000C-AA50-4D60-B038-664587364CDB}"/>
              </c:ext>
            </c:extLst>
          </c:dPt>
          <c:cat>
            <c:strRef>
              <c:f>'Pivort Tables'!$A$4:$A$11</c:f>
              <c:strCache>
                <c:ptCount val="7"/>
                <c:pt idx="0">
                  <c:v>Finance</c:v>
                </c:pt>
                <c:pt idx="1">
                  <c:v>HR</c:v>
                </c:pt>
                <c:pt idx="2">
                  <c:v>IT</c:v>
                </c:pt>
                <c:pt idx="3">
                  <c:v>Marketing</c:v>
                </c:pt>
                <c:pt idx="4">
                  <c:v>Operations</c:v>
                </c:pt>
                <c:pt idx="5">
                  <c:v>Sales</c:v>
                </c:pt>
                <c:pt idx="6">
                  <c:v>(blank)</c:v>
                </c:pt>
              </c:strCache>
            </c:strRef>
          </c:cat>
          <c:val>
            <c:numRef>
              <c:f>'Pivort Tables'!$B$4:$B$11</c:f>
              <c:numCache>
                <c:formatCode>General</c:formatCode>
                <c:ptCount val="7"/>
                <c:pt idx="0">
                  <c:v>3.096774193548387</c:v>
                </c:pt>
                <c:pt idx="1">
                  <c:v>2.7391304347826089</c:v>
                </c:pt>
                <c:pt idx="2">
                  <c:v>2.7222222222222223</c:v>
                </c:pt>
                <c:pt idx="3">
                  <c:v>3</c:v>
                </c:pt>
                <c:pt idx="4">
                  <c:v>3.3157894736842106</c:v>
                </c:pt>
                <c:pt idx="5">
                  <c:v>3.0526315789473686</c:v>
                </c:pt>
              </c:numCache>
            </c:numRef>
          </c:val>
          <c:extLst>
            <c:ext xmlns:c16="http://schemas.microsoft.com/office/drawing/2014/chart" uri="{C3380CC4-5D6E-409C-BE32-E72D297353CC}">
              <c16:uniqueId val="{0000000D-AA50-4D60-B038-664587364CDB}"/>
            </c:ext>
          </c:extLst>
        </c:ser>
        <c:dLbls>
          <c:showLegendKey val="0"/>
          <c:showVal val="0"/>
          <c:showCatName val="0"/>
          <c:showSerName val="0"/>
          <c:showPercent val="0"/>
          <c:showBubbleSize val="0"/>
        </c:dLbls>
        <c:gapWidth val="160"/>
        <c:gapDepth val="0"/>
        <c:shape val="box"/>
        <c:axId val="387896584"/>
        <c:axId val="387896944"/>
        <c:axId val="0"/>
      </c:bar3DChart>
      <c:catAx>
        <c:axId val="387896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96944"/>
        <c:crosses val="autoZero"/>
        <c:auto val="1"/>
        <c:lblAlgn val="ctr"/>
        <c:lblOffset val="100"/>
        <c:noMultiLvlLbl val="0"/>
      </c:catAx>
      <c:valAx>
        <c:axId val="38789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96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prstDash val="lgDash"/>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chart" Target="../charts/chart6.xml"/><Relationship Id="rId2" Type="http://schemas.openxmlformats.org/officeDocument/2006/relationships/hyperlink" Target="http://www.pngall.com/employment-png" TargetMode="Externa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hyperlink" Target="https://www.grammar-quizzes.com/rise-raise.html" TargetMode="External"/><Relationship Id="rId10" Type="http://schemas.openxmlformats.org/officeDocument/2006/relationships/chart" Target="../charts/chart9.xml"/><Relationship Id="rId4" Type="http://schemas.openxmlformats.org/officeDocument/2006/relationships/image" Target="../media/image3.gif"/><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121920</xdr:colOff>
      <xdr:row>1</xdr:row>
      <xdr:rowOff>175260</xdr:rowOff>
    </xdr:from>
    <xdr:to>
      <xdr:col>7</xdr:col>
      <xdr:colOff>0</xdr:colOff>
      <xdr:row>10</xdr:row>
      <xdr:rowOff>167640</xdr:rowOff>
    </xdr:to>
    <xdr:graphicFrame macro="">
      <xdr:nvGraphicFramePr>
        <xdr:cNvPr id="2" name="Chart 1">
          <a:extLst>
            <a:ext uri="{FF2B5EF4-FFF2-40B4-BE49-F238E27FC236}">
              <a16:creationId xmlns:a16="http://schemas.microsoft.com/office/drawing/2014/main" id="{AAD05CEF-D380-631E-ED0D-5BDF5849D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175260</xdr:colOff>
      <xdr:row>13</xdr:row>
      <xdr:rowOff>7620</xdr:rowOff>
    </xdr:from>
    <xdr:to>
      <xdr:col>7</xdr:col>
      <xdr:colOff>7620</xdr:colOff>
      <xdr:row>21</xdr:row>
      <xdr:rowOff>144780</xdr:rowOff>
    </xdr:to>
    <xdr:graphicFrame macro="">
      <xdr:nvGraphicFramePr>
        <xdr:cNvPr id="3" name="Chart 2">
          <a:extLst>
            <a:ext uri="{FF2B5EF4-FFF2-40B4-BE49-F238E27FC236}">
              <a16:creationId xmlns:a16="http://schemas.microsoft.com/office/drawing/2014/main" id="{AA0DF5CB-28EC-692B-4D14-E46C1D43A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60960</xdr:colOff>
      <xdr:row>1</xdr:row>
      <xdr:rowOff>91440</xdr:rowOff>
    </xdr:from>
    <xdr:to>
      <xdr:col>13</xdr:col>
      <xdr:colOff>7620</xdr:colOff>
      <xdr:row>10</xdr:row>
      <xdr:rowOff>106680</xdr:rowOff>
    </xdr:to>
    <xdr:graphicFrame macro="">
      <xdr:nvGraphicFramePr>
        <xdr:cNvPr id="4" name="Chart 3">
          <a:extLst>
            <a:ext uri="{FF2B5EF4-FFF2-40B4-BE49-F238E27FC236}">
              <a16:creationId xmlns:a16="http://schemas.microsoft.com/office/drawing/2014/main" id="{65ADF71E-408A-FC9E-4E3C-E95396F04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68580</xdr:colOff>
      <xdr:row>13</xdr:row>
      <xdr:rowOff>7620</xdr:rowOff>
    </xdr:from>
    <xdr:to>
      <xdr:col>12</xdr:col>
      <xdr:colOff>586740</xdr:colOff>
      <xdr:row>21</xdr:row>
      <xdr:rowOff>7620</xdr:rowOff>
    </xdr:to>
    <xdr:graphicFrame macro="">
      <xdr:nvGraphicFramePr>
        <xdr:cNvPr id="5" name="Chart 4">
          <a:extLst>
            <a:ext uri="{FF2B5EF4-FFF2-40B4-BE49-F238E27FC236}">
              <a16:creationId xmlns:a16="http://schemas.microsoft.com/office/drawing/2014/main" id="{6DAB63B0-4648-C81F-A525-7F851CDD7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213360</xdr:colOff>
      <xdr:row>1</xdr:row>
      <xdr:rowOff>167640</xdr:rowOff>
    </xdr:from>
    <xdr:to>
      <xdr:col>22</xdr:col>
      <xdr:colOff>373380</xdr:colOff>
      <xdr:row>12</xdr:row>
      <xdr:rowOff>160020</xdr:rowOff>
    </xdr:to>
    <xdr:graphicFrame macro="">
      <xdr:nvGraphicFramePr>
        <xdr:cNvPr id="7" name="Chart 6">
          <a:extLst>
            <a:ext uri="{FF2B5EF4-FFF2-40B4-BE49-F238E27FC236}">
              <a16:creationId xmlns:a16="http://schemas.microsoft.com/office/drawing/2014/main" id="{62E2BF66-DBE5-68E7-925C-D92CDAFE5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899160</xdr:colOff>
      <xdr:row>23</xdr:row>
      <xdr:rowOff>30480</xdr:rowOff>
    </xdr:from>
    <xdr:to>
      <xdr:col>4</xdr:col>
      <xdr:colOff>198120</xdr:colOff>
      <xdr:row>36</xdr:row>
      <xdr:rowOff>120015</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EC99EB54-A3C5-BA1E-13AE-CE921EDBB24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60220" y="423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22</xdr:row>
      <xdr:rowOff>137160</xdr:rowOff>
    </xdr:from>
    <xdr:to>
      <xdr:col>8</xdr:col>
      <xdr:colOff>22860</xdr:colOff>
      <xdr:row>36</xdr:row>
      <xdr:rowOff>43815</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C0BD83DE-973C-6D83-63B4-413E1FE9019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023360" y="416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22</xdr:row>
      <xdr:rowOff>160021</xdr:rowOff>
    </xdr:from>
    <xdr:to>
      <xdr:col>10</xdr:col>
      <xdr:colOff>480060</xdr:colOff>
      <xdr:row>28</xdr:row>
      <xdr:rowOff>15241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B56166B7-0557-1955-9E14-5D02B9D742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31280" y="418338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106680</xdr:colOff>
      <xdr:row>1</xdr:row>
      <xdr:rowOff>99060</xdr:rowOff>
    </xdr:from>
    <xdr:to>
      <xdr:col>13</xdr:col>
      <xdr:colOff>388620</xdr:colOff>
      <xdr:row>4</xdr:row>
      <xdr:rowOff>22860</xdr:rowOff>
    </xdr:to>
    <xdr:sp macro="" textlink="">
      <xdr:nvSpPr>
        <xdr:cNvPr id="2" name="TextBox 1">
          <a:extLst>
            <a:ext uri="{FF2B5EF4-FFF2-40B4-BE49-F238E27FC236}">
              <a16:creationId xmlns:a16="http://schemas.microsoft.com/office/drawing/2014/main" id="{A1545675-3559-7076-5213-17CAE8F8246A}"/>
            </a:ext>
          </a:extLst>
        </xdr:cNvPr>
        <xdr:cNvSpPr txBox="1"/>
      </xdr:nvSpPr>
      <xdr:spPr>
        <a:xfrm>
          <a:off x="4061460" y="289560"/>
          <a:ext cx="5158740" cy="472440"/>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algn="ctr"/>
          <a:r>
            <a:rPr lang="en-IN" sz="2800" b="1" i="0" u="sng">
              <a:latin typeface="Berlin Sans FB Demi" panose="020E0802020502020306" pitchFamily="34" charset="0"/>
            </a:rPr>
            <a:t>HR  ANALYTICS </a:t>
          </a:r>
          <a:r>
            <a:rPr lang="en-IN" sz="2800" b="1" i="0" u="sng" baseline="0">
              <a:latin typeface="Berlin Sans FB Demi" panose="020E0802020502020306" pitchFamily="34" charset="0"/>
            </a:rPr>
            <a:t> DASHBOARD</a:t>
          </a:r>
          <a:endParaRPr lang="en-IN" sz="2800" b="1" i="0" u="sng">
            <a:latin typeface="Berlin Sans FB Demi" panose="020E0802020502020306" pitchFamily="34" charset="0"/>
          </a:endParaRPr>
        </a:p>
      </xdr:txBody>
    </xdr:sp>
    <xdr:clientData/>
  </xdr:twoCellAnchor>
  <xdr:twoCellAnchor>
    <xdr:from>
      <xdr:col>1</xdr:col>
      <xdr:colOff>327660</xdr:colOff>
      <xdr:row>6</xdr:row>
      <xdr:rowOff>15240</xdr:rowOff>
    </xdr:from>
    <xdr:to>
      <xdr:col>3</xdr:col>
      <xdr:colOff>182880</xdr:colOff>
      <xdr:row>9</xdr:row>
      <xdr:rowOff>129540</xdr:rowOff>
    </xdr:to>
    <xdr:grpSp>
      <xdr:nvGrpSpPr>
        <xdr:cNvPr id="31" name="Group 30">
          <a:extLst>
            <a:ext uri="{FF2B5EF4-FFF2-40B4-BE49-F238E27FC236}">
              <a16:creationId xmlns:a16="http://schemas.microsoft.com/office/drawing/2014/main" id="{5566260F-F85B-55BE-73A0-804C087216AC}"/>
            </a:ext>
          </a:extLst>
        </xdr:cNvPr>
        <xdr:cNvGrpSpPr/>
      </xdr:nvGrpSpPr>
      <xdr:grpSpPr>
        <a:xfrm>
          <a:off x="1188720" y="1120140"/>
          <a:ext cx="1729740" cy="662940"/>
          <a:chOff x="1013460" y="845820"/>
          <a:chExt cx="1729740" cy="662940"/>
        </a:xfrm>
      </xdr:grpSpPr>
      <xdr:sp macro="" textlink="">
        <xdr:nvSpPr>
          <xdr:cNvPr id="3" name="Rectangle: Diagonal Corners Rounded 2">
            <a:extLst>
              <a:ext uri="{FF2B5EF4-FFF2-40B4-BE49-F238E27FC236}">
                <a16:creationId xmlns:a16="http://schemas.microsoft.com/office/drawing/2014/main" id="{0A0C5810-96C3-FA2A-087F-36F6DE3F64A4}"/>
              </a:ext>
            </a:extLst>
          </xdr:cNvPr>
          <xdr:cNvSpPr/>
        </xdr:nvSpPr>
        <xdr:spPr>
          <a:xfrm>
            <a:off x="1013460" y="845820"/>
            <a:ext cx="1729740" cy="647700"/>
          </a:xfrm>
          <a:prstGeom prst="round2Diag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Total Employees</a:t>
            </a:r>
          </a:p>
          <a:p>
            <a:pPr algn="r"/>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 200</a:t>
            </a:r>
          </a:p>
        </xdr:txBody>
      </xdr:sp>
      <xdr:pic>
        <xdr:nvPicPr>
          <xdr:cNvPr id="10" name="Picture 9">
            <a:extLst>
              <a:ext uri="{FF2B5EF4-FFF2-40B4-BE49-F238E27FC236}">
                <a16:creationId xmlns:a16="http://schemas.microsoft.com/office/drawing/2014/main" id="{0B27FD64-CE17-A1B7-7C08-A8C8DBF724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1" r="41193" b="-2323"/>
          <a:stretch>
            <a:fillRect/>
          </a:stretch>
        </xdr:blipFill>
        <xdr:spPr>
          <a:xfrm>
            <a:off x="1043940" y="877330"/>
            <a:ext cx="556260" cy="631430"/>
          </a:xfrm>
          <a:prstGeom prst="flowChartConnector">
            <a:avLst/>
          </a:prstGeom>
        </xdr:spPr>
      </xdr:pic>
    </xdr:grpSp>
    <xdr:clientData/>
  </xdr:twoCellAnchor>
  <xdr:twoCellAnchor>
    <xdr:from>
      <xdr:col>3</xdr:col>
      <xdr:colOff>525780</xdr:colOff>
      <xdr:row>5</xdr:row>
      <xdr:rowOff>167640</xdr:rowOff>
    </xdr:from>
    <xdr:to>
      <xdr:col>6</xdr:col>
      <xdr:colOff>426720</xdr:colOff>
      <xdr:row>9</xdr:row>
      <xdr:rowOff>83820</xdr:rowOff>
    </xdr:to>
    <xdr:grpSp>
      <xdr:nvGrpSpPr>
        <xdr:cNvPr id="30" name="Group 29">
          <a:extLst>
            <a:ext uri="{FF2B5EF4-FFF2-40B4-BE49-F238E27FC236}">
              <a16:creationId xmlns:a16="http://schemas.microsoft.com/office/drawing/2014/main" id="{F550F420-BA6A-F804-E997-C66C561FCCB5}"/>
            </a:ext>
          </a:extLst>
        </xdr:cNvPr>
        <xdr:cNvGrpSpPr/>
      </xdr:nvGrpSpPr>
      <xdr:grpSpPr>
        <a:xfrm>
          <a:off x="3261360" y="1089660"/>
          <a:ext cx="1729740" cy="647700"/>
          <a:chOff x="967740" y="1623060"/>
          <a:chExt cx="1729740" cy="647700"/>
        </a:xfrm>
      </xdr:grpSpPr>
      <xdr:sp macro="" textlink="">
        <xdr:nvSpPr>
          <xdr:cNvPr id="4" name="Rectangle: Diagonal Corners Rounded 3">
            <a:extLst>
              <a:ext uri="{FF2B5EF4-FFF2-40B4-BE49-F238E27FC236}">
                <a16:creationId xmlns:a16="http://schemas.microsoft.com/office/drawing/2014/main" id="{559BE9D9-DE80-4004-B156-5E8CFD291E71}"/>
              </a:ext>
            </a:extLst>
          </xdr:cNvPr>
          <xdr:cNvSpPr/>
        </xdr:nvSpPr>
        <xdr:spPr>
          <a:xfrm>
            <a:off x="967740" y="1623060"/>
            <a:ext cx="1729740" cy="647700"/>
          </a:xfrm>
          <a:prstGeom prst="round2Diag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Attrition Rate </a:t>
            </a:r>
          </a:p>
          <a:p>
            <a:pPr algn="l"/>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21%</a:t>
            </a:r>
          </a:p>
        </xdr:txBody>
      </xdr:sp>
      <xdr:pic>
        <xdr:nvPicPr>
          <xdr:cNvPr id="16" name="Picture 15">
            <a:extLst>
              <a:ext uri="{FF2B5EF4-FFF2-40B4-BE49-F238E27FC236}">
                <a16:creationId xmlns:a16="http://schemas.microsoft.com/office/drawing/2014/main" id="{89D14566-6599-FBF8-CA46-BBABE1C6BB6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38" t="6482" r="1138" b="12162"/>
          <a:stretch>
            <a:fillRect/>
          </a:stretch>
        </xdr:blipFill>
        <xdr:spPr>
          <a:xfrm>
            <a:off x="2034540" y="1737360"/>
            <a:ext cx="640080" cy="510540"/>
          </a:xfrm>
          <a:prstGeom prst="rect">
            <a:avLst/>
          </a:prstGeom>
        </xdr:spPr>
      </xdr:pic>
    </xdr:grpSp>
    <xdr:clientData/>
  </xdr:twoCellAnchor>
  <xdr:twoCellAnchor>
    <xdr:from>
      <xdr:col>1</xdr:col>
      <xdr:colOff>312420</xdr:colOff>
      <xdr:row>10</xdr:row>
      <xdr:rowOff>45720</xdr:rowOff>
    </xdr:from>
    <xdr:to>
      <xdr:col>3</xdr:col>
      <xdr:colOff>167640</xdr:colOff>
      <xdr:row>13</xdr:row>
      <xdr:rowOff>160020</xdr:rowOff>
    </xdr:to>
    <xdr:grpSp>
      <xdr:nvGrpSpPr>
        <xdr:cNvPr id="28" name="Group 27">
          <a:extLst>
            <a:ext uri="{FF2B5EF4-FFF2-40B4-BE49-F238E27FC236}">
              <a16:creationId xmlns:a16="http://schemas.microsoft.com/office/drawing/2014/main" id="{10814669-0BC8-D908-BC8A-5D87B845A8C4}"/>
            </a:ext>
          </a:extLst>
        </xdr:cNvPr>
        <xdr:cNvGrpSpPr/>
      </xdr:nvGrpSpPr>
      <xdr:grpSpPr>
        <a:xfrm>
          <a:off x="1173480" y="1882140"/>
          <a:ext cx="1729740" cy="662940"/>
          <a:chOff x="1013460" y="3063240"/>
          <a:chExt cx="1729740" cy="662940"/>
        </a:xfrm>
      </xdr:grpSpPr>
      <xdr:sp macro="" textlink="">
        <xdr:nvSpPr>
          <xdr:cNvPr id="5" name="Rectangle: Diagonal Corners Rounded 4">
            <a:extLst>
              <a:ext uri="{FF2B5EF4-FFF2-40B4-BE49-F238E27FC236}">
                <a16:creationId xmlns:a16="http://schemas.microsoft.com/office/drawing/2014/main" id="{0BF5C58C-F743-43D2-97E3-E91EDF5D110A}"/>
              </a:ext>
            </a:extLst>
          </xdr:cNvPr>
          <xdr:cNvSpPr/>
        </xdr:nvSpPr>
        <xdr:spPr>
          <a:xfrm>
            <a:off x="1013460" y="3078480"/>
            <a:ext cx="1729740" cy="647700"/>
          </a:xfrm>
          <a:prstGeom prst="round2Diag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Average Salary</a:t>
            </a:r>
          </a:p>
          <a:p>
            <a:pPr algn="r"/>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59.57K</a:t>
            </a:r>
          </a:p>
        </xdr:txBody>
      </xdr:sp>
      <xdr:pic>
        <xdr:nvPicPr>
          <xdr:cNvPr id="18" name="Picture 17">
            <a:extLst>
              <a:ext uri="{FF2B5EF4-FFF2-40B4-BE49-F238E27FC236}">
                <a16:creationId xmlns:a16="http://schemas.microsoft.com/office/drawing/2014/main" id="{CB2F91FB-8C6A-1116-9F28-A3AD8B5D46B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097280" y="3063240"/>
            <a:ext cx="586740" cy="624840"/>
          </a:xfrm>
          <a:prstGeom prst="rect">
            <a:avLst/>
          </a:prstGeom>
        </xdr:spPr>
      </xdr:pic>
    </xdr:grpSp>
    <xdr:clientData/>
  </xdr:twoCellAnchor>
  <xdr:twoCellAnchor>
    <xdr:from>
      <xdr:col>3</xdr:col>
      <xdr:colOff>510540</xdr:colOff>
      <xdr:row>10</xdr:row>
      <xdr:rowOff>68580</xdr:rowOff>
    </xdr:from>
    <xdr:to>
      <xdr:col>6</xdr:col>
      <xdr:colOff>449580</xdr:colOff>
      <xdr:row>13</xdr:row>
      <xdr:rowOff>175260</xdr:rowOff>
    </xdr:to>
    <xdr:grpSp>
      <xdr:nvGrpSpPr>
        <xdr:cNvPr id="29" name="Group 28">
          <a:extLst>
            <a:ext uri="{FF2B5EF4-FFF2-40B4-BE49-F238E27FC236}">
              <a16:creationId xmlns:a16="http://schemas.microsoft.com/office/drawing/2014/main" id="{B8205F5F-C09C-0F5B-11CE-5399ABBE7246}"/>
            </a:ext>
          </a:extLst>
        </xdr:cNvPr>
        <xdr:cNvGrpSpPr/>
      </xdr:nvGrpSpPr>
      <xdr:grpSpPr>
        <a:xfrm>
          <a:off x="3246120" y="1905000"/>
          <a:ext cx="1767840" cy="655320"/>
          <a:chOff x="990600" y="3840480"/>
          <a:chExt cx="1729740" cy="777240"/>
        </a:xfrm>
      </xdr:grpSpPr>
      <xdr:sp macro="" textlink="">
        <xdr:nvSpPr>
          <xdr:cNvPr id="6" name="Rectangle: Diagonal Corners Rounded 5">
            <a:extLst>
              <a:ext uri="{FF2B5EF4-FFF2-40B4-BE49-F238E27FC236}">
                <a16:creationId xmlns:a16="http://schemas.microsoft.com/office/drawing/2014/main" id="{8385B0E7-4E10-4EEC-AF7C-E715915D5A9B}"/>
              </a:ext>
            </a:extLst>
          </xdr:cNvPr>
          <xdr:cNvSpPr/>
        </xdr:nvSpPr>
        <xdr:spPr>
          <a:xfrm>
            <a:off x="990600" y="3840480"/>
            <a:ext cx="1729740" cy="777240"/>
          </a:xfrm>
          <a:prstGeom prst="round2Diag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Average</a:t>
            </a:r>
            <a:r>
              <a:rPr lang="en-IN" sz="1100" b="1" cap="none" spc="0" baseline="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 </a:t>
            </a:r>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Performance </a:t>
            </a:r>
          </a:p>
          <a:p>
            <a:pPr algn="l"/>
            <a:r>
              <a:rPr lang="en-IN" sz="1100" b="1" cap="none" spc="0">
                <a:ln>
                  <a:solidFill>
                    <a:sysClr val="windowText" lastClr="000000"/>
                  </a:solidFill>
                </a:ln>
                <a:solidFill>
                  <a:sysClr val="windowText" lastClr="000000"/>
                </a:solidFill>
                <a:effectLst>
                  <a:outerShdw blurRad="38100" dist="19050" dir="2700000" algn="tl" rotWithShape="0">
                    <a:schemeClr val="dk1">
                      <a:lumMod val="50000"/>
                      <a:alpha val="40000"/>
                    </a:schemeClr>
                  </a:outerShdw>
                </a:effectLst>
              </a:rPr>
              <a:t>3.01</a:t>
            </a:r>
          </a:p>
        </xdr:txBody>
      </xdr:sp>
      <xdr:pic>
        <xdr:nvPicPr>
          <xdr:cNvPr id="21" name="Picture 20">
            <a:extLst>
              <a:ext uri="{FF2B5EF4-FFF2-40B4-BE49-F238E27FC236}">
                <a16:creationId xmlns:a16="http://schemas.microsoft.com/office/drawing/2014/main" id="{8346BAF3-8F00-E40D-8E85-E74C5D42390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72640" y="4144745"/>
            <a:ext cx="541020" cy="465632"/>
          </a:xfrm>
          <a:prstGeom prst="rect">
            <a:avLst/>
          </a:prstGeom>
        </xdr:spPr>
      </xdr:pic>
    </xdr:grpSp>
    <xdr:clientData/>
  </xdr:twoCellAnchor>
  <xdr:twoCellAnchor>
    <xdr:from>
      <xdr:col>7</xdr:col>
      <xdr:colOff>243840</xdr:colOff>
      <xdr:row>5</xdr:row>
      <xdr:rowOff>22860</xdr:rowOff>
    </xdr:from>
    <xdr:to>
      <xdr:col>12</xdr:col>
      <xdr:colOff>327660</xdr:colOff>
      <xdr:row>14</xdr:row>
      <xdr:rowOff>38100</xdr:rowOff>
    </xdr:to>
    <xdr:graphicFrame macro="">
      <xdr:nvGraphicFramePr>
        <xdr:cNvPr id="23" name="Chart 22">
          <a:extLst>
            <a:ext uri="{FF2B5EF4-FFF2-40B4-BE49-F238E27FC236}">
              <a16:creationId xmlns:a16="http://schemas.microsoft.com/office/drawing/2014/main" id="{88AB14EE-4379-4936-8FCD-BA9FDB412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175260</xdr:colOff>
      <xdr:row>14</xdr:row>
      <xdr:rowOff>114300</xdr:rowOff>
    </xdr:from>
    <xdr:to>
      <xdr:col>12</xdr:col>
      <xdr:colOff>312420</xdr:colOff>
      <xdr:row>25</xdr:row>
      <xdr:rowOff>129540</xdr:rowOff>
    </xdr:to>
    <xdr:graphicFrame macro="">
      <xdr:nvGraphicFramePr>
        <xdr:cNvPr id="24" name="Chart 23">
          <a:extLst>
            <a:ext uri="{FF2B5EF4-FFF2-40B4-BE49-F238E27FC236}">
              <a16:creationId xmlns:a16="http://schemas.microsoft.com/office/drawing/2014/main" id="{8B27696F-7F7C-416D-BF6F-0D2E62940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449580</xdr:colOff>
      <xdr:row>14</xdr:row>
      <xdr:rowOff>68580</xdr:rowOff>
    </xdr:from>
    <xdr:to>
      <xdr:col>17</xdr:col>
      <xdr:colOff>480060</xdr:colOff>
      <xdr:row>25</xdr:row>
      <xdr:rowOff>106680</xdr:rowOff>
    </xdr:to>
    <xdr:graphicFrame macro="">
      <xdr:nvGraphicFramePr>
        <xdr:cNvPr id="25" name="Chart 24">
          <a:extLst>
            <a:ext uri="{FF2B5EF4-FFF2-40B4-BE49-F238E27FC236}">
              <a16:creationId xmlns:a16="http://schemas.microsoft.com/office/drawing/2014/main" id="{2B73C70E-8DB5-4CCD-8898-4F005B226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38100</xdr:colOff>
      <xdr:row>14</xdr:row>
      <xdr:rowOff>106680</xdr:rowOff>
    </xdr:from>
    <xdr:to>
      <xdr:col>7</xdr:col>
      <xdr:colOff>38100</xdr:colOff>
      <xdr:row>25</xdr:row>
      <xdr:rowOff>83820</xdr:rowOff>
    </xdr:to>
    <xdr:graphicFrame macro="">
      <xdr:nvGraphicFramePr>
        <xdr:cNvPr id="26" name="Chart 25">
          <a:extLst>
            <a:ext uri="{FF2B5EF4-FFF2-40B4-BE49-F238E27FC236}">
              <a16:creationId xmlns:a16="http://schemas.microsoft.com/office/drawing/2014/main" id="{457CF6F0-9E08-43D5-ABE9-3DF7C374C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426720</xdr:colOff>
      <xdr:row>5</xdr:row>
      <xdr:rowOff>30480</xdr:rowOff>
    </xdr:from>
    <xdr:to>
      <xdr:col>17</xdr:col>
      <xdr:colOff>449580</xdr:colOff>
      <xdr:row>14</xdr:row>
      <xdr:rowOff>7620</xdr:rowOff>
    </xdr:to>
    <xdr:graphicFrame macro="">
      <xdr:nvGraphicFramePr>
        <xdr:cNvPr id="27" name="Chart 26">
          <a:extLst>
            <a:ext uri="{FF2B5EF4-FFF2-40B4-BE49-F238E27FC236}">
              <a16:creationId xmlns:a16="http://schemas.microsoft.com/office/drawing/2014/main" id="{216CDD6A-9867-4D35-9CAC-D1F4BB952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579120</xdr:colOff>
      <xdr:row>12</xdr:row>
      <xdr:rowOff>144780</xdr:rowOff>
    </xdr:from>
    <xdr:to>
      <xdr:col>20</xdr:col>
      <xdr:colOff>579120</xdr:colOff>
      <xdr:row>20</xdr:row>
      <xdr:rowOff>53340</xdr:rowOff>
    </xdr:to>
    <mc:AlternateContent xmlns:mc="http://schemas.openxmlformats.org/markup-compatibility/2006">
      <mc:Choice xmlns:a14="http://schemas.microsoft.com/office/drawing/2010/main" Requires="a14">
        <xdr:graphicFrame macro="">
          <xdr:nvGraphicFramePr>
            <xdr:cNvPr id="32" name="Department 1">
              <a:extLst>
                <a:ext uri="{FF2B5EF4-FFF2-40B4-BE49-F238E27FC236}">
                  <a16:creationId xmlns:a16="http://schemas.microsoft.com/office/drawing/2014/main" id="{0419DF83-13D8-4CC8-B9F5-4C591F555CF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849100" y="234696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563880</xdr:colOff>
      <xdr:row>5</xdr:row>
      <xdr:rowOff>7620</xdr:rowOff>
    </xdr:from>
    <xdr:to>
      <xdr:col>20</xdr:col>
      <xdr:colOff>563880</xdr:colOff>
      <xdr:row>12</xdr:row>
      <xdr:rowOff>91440</xdr:rowOff>
    </xdr:to>
    <mc:AlternateContent xmlns:mc="http://schemas.openxmlformats.org/markup-compatibility/2006">
      <mc:Choice xmlns:a14="http://schemas.microsoft.com/office/drawing/2010/main" Requires="a14">
        <xdr:graphicFrame macro="">
          <xdr:nvGraphicFramePr>
            <xdr:cNvPr id="33" name="JobRole 1">
              <a:extLst>
                <a:ext uri="{FF2B5EF4-FFF2-40B4-BE49-F238E27FC236}">
                  <a16:creationId xmlns:a16="http://schemas.microsoft.com/office/drawing/2014/main" id="{00D43ACA-3158-4A6C-B5C7-7D12001F0708}"/>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1833860" y="929640"/>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579120</xdr:colOff>
      <xdr:row>20</xdr:row>
      <xdr:rowOff>106680</xdr:rowOff>
    </xdr:from>
    <xdr:to>
      <xdr:col>20</xdr:col>
      <xdr:colOff>579120</xdr:colOff>
      <xdr:row>25</xdr:row>
      <xdr:rowOff>144780</xdr:rowOff>
    </xdr:to>
    <mc:AlternateContent xmlns:mc="http://schemas.openxmlformats.org/markup-compatibility/2006">
      <mc:Choice xmlns:a14="http://schemas.microsoft.com/office/drawing/2010/main" Requires="a14">
        <xdr:graphicFrame macro="">
          <xdr:nvGraphicFramePr>
            <xdr:cNvPr id="34" name="Gender 1">
              <a:extLst>
                <a:ext uri="{FF2B5EF4-FFF2-40B4-BE49-F238E27FC236}">
                  <a16:creationId xmlns:a16="http://schemas.microsoft.com/office/drawing/2014/main" id="{3898A503-3368-4433-BA53-93365B26480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849100" y="377190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0.14354</cdr:x>
      <cdr:y>0.04887</cdr:y>
    </cdr:from>
    <cdr:to>
      <cdr:x>0.88517</cdr:x>
      <cdr:y>0.21429</cdr:y>
    </cdr:to>
    <cdr:sp macro="" textlink="">
      <cdr:nvSpPr>
        <cdr:cNvPr id="2" name="TextBox 1">
          <a:extLst xmlns:a="http://schemas.openxmlformats.org/drawingml/2006/main">
            <a:ext uri="{FF2B5EF4-FFF2-40B4-BE49-F238E27FC236}">
              <a16:creationId xmlns:a16="http://schemas.microsoft.com/office/drawing/2014/main" id="{D83F787F-56F8-8F88-56CD-1974F1C9AC17}"/>
            </a:ext>
          </a:extLst>
        </cdr:cNvPr>
        <cdr:cNvSpPr txBox="1"/>
      </cdr:nvSpPr>
      <cdr:spPr>
        <a:xfrm xmlns:a="http://schemas.openxmlformats.org/drawingml/2006/main">
          <a:off x="457200" y="99060"/>
          <a:ext cx="236220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400" b="1" i="0" cap="all" baseline="0">
              <a:effectLst/>
              <a:latin typeface="+mn-lt"/>
              <a:ea typeface="+mn-ea"/>
              <a:cs typeface="+mn-cs"/>
            </a:rPr>
            <a:t>Training vs performance </a:t>
          </a:r>
          <a:endParaRPr lang="en-IN" sz="1400">
            <a:effectLst/>
          </a:endParaRPr>
        </a:p>
        <a:p xmlns:a="http://schemas.openxmlformats.org/drawingml/2006/main">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0.09406</cdr:x>
      <cdr:y>0.07807</cdr:y>
    </cdr:from>
    <cdr:to>
      <cdr:x>0.94554</cdr:x>
      <cdr:y>0.25651</cdr:y>
    </cdr:to>
    <cdr:sp macro="" textlink="">
      <cdr:nvSpPr>
        <cdr:cNvPr id="2" name="TextBox 1">
          <a:extLst xmlns:a="http://schemas.openxmlformats.org/drawingml/2006/main">
            <a:ext uri="{FF2B5EF4-FFF2-40B4-BE49-F238E27FC236}">
              <a16:creationId xmlns:a16="http://schemas.microsoft.com/office/drawing/2014/main" id="{DA5B8627-08D5-C73D-3E40-476A85765D76}"/>
            </a:ext>
          </a:extLst>
        </cdr:cNvPr>
        <cdr:cNvSpPr txBox="1"/>
      </cdr:nvSpPr>
      <cdr:spPr>
        <a:xfrm xmlns:a="http://schemas.openxmlformats.org/drawingml/2006/main">
          <a:off x="289560" y="160020"/>
          <a:ext cx="262128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baseline="0">
              <a:effectLst/>
              <a:latin typeface="+mn-lt"/>
              <a:ea typeface="+mn-ea"/>
              <a:cs typeface="+mn-cs"/>
            </a:rPr>
            <a:t>Attrition Rate by Department</a:t>
          </a:r>
          <a:endParaRPr lang="en-IN" sz="1400" b="1">
            <a:effectLst/>
          </a:endParaRPr>
        </a:p>
        <a:p xmlns:a="http://schemas.openxmlformats.org/drawingml/2006/main">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0.17866</cdr:x>
      <cdr:y>0.06573</cdr:y>
    </cdr:from>
    <cdr:to>
      <cdr:x>0.89082</cdr:x>
      <cdr:y>0.30047</cdr:y>
    </cdr:to>
    <cdr:sp macro="" textlink="">
      <cdr:nvSpPr>
        <cdr:cNvPr id="2" name="TextBox 1">
          <a:extLst xmlns:a="http://schemas.openxmlformats.org/drawingml/2006/main">
            <a:ext uri="{FF2B5EF4-FFF2-40B4-BE49-F238E27FC236}">
              <a16:creationId xmlns:a16="http://schemas.microsoft.com/office/drawing/2014/main" id="{A6F621FE-1D2D-8C5E-14D8-E3CF3CCC0D8E}"/>
            </a:ext>
          </a:extLst>
        </cdr:cNvPr>
        <cdr:cNvSpPr txBox="1"/>
      </cdr:nvSpPr>
      <cdr:spPr>
        <a:xfrm xmlns:a="http://schemas.openxmlformats.org/drawingml/2006/main">
          <a:off x="548640" y="106680"/>
          <a:ext cx="2186940"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Performance By Department</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0.821451157404" createdVersion="8" refreshedVersion="8" minRefreshableVersion="3" recordCount="201" xr:uid="{A5F49531-D1E4-43DA-80C1-614E2ECFBDC6}">
  <cacheSource type="worksheet">
    <worksheetSource ref="A1:M1048576" sheet="Data cleaning"/>
  </cacheSource>
  <cacheFields count="14">
    <cacheField name="EmployeeID" numFmtId="0">
      <sharedItems containsBlank="1"/>
    </cacheField>
    <cacheField name="Department" numFmtId="0">
      <sharedItems containsBlank="1" count="7">
        <s v="Marketing"/>
        <s v="Operations"/>
        <s v="Finance"/>
        <s v="Sales"/>
        <s v="IT"/>
        <s v="HR"/>
        <m/>
      </sharedItems>
    </cacheField>
    <cacheField name="JobRole" numFmtId="0">
      <sharedItems containsBlank="1" count="20">
        <s v="SEO Specialist"/>
        <s v="Operations Executive"/>
        <s v="Logistics Coordinator"/>
        <s v="Financial Analyst"/>
        <s v="Sales Executive"/>
        <s v="Operations Manager"/>
        <s v="QA Engineer"/>
        <s v="Content Strategist"/>
        <s v="Software Engineer"/>
        <s v="Recruiter"/>
        <s v="Sales Manager"/>
        <s v="Marketing Executive"/>
        <s v="Accountant"/>
        <s v="HR Manager"/>
        <s v="Account Manager"/>
        <s v="Finance Manager"/>
        <s v="HR Executive"/>
        <s v="System Admin"/>
        <s v="Data Analyst"/>
        <m/>
      </sharedItems>
    </cacheField>
    <cacheField name="Gender" numFmtId="0">
      <sharedItems containsBlank="1" count="3">
        <s v="Female"/>
        <s v="Male"/>
        <m/>
      </sharedItems>
    </cacheField>
    <cacheField name="Age" numFmtId="0">
      <sharedItems containsString="0" containsBlank="1" containsNumber="1" containsInteger="1" minValue="22" maxValue="50"/>
    </cacheField>
    <cacheField name="YearsAtCompany" numFmtId="0">
      <sharedItems containsString="0" containsBlank="1" containsNumber="1" containsInteger="1" minValue="0" maxValue="15" count="17">
        <n v="12"/>
        <n v="7"/>
        <n v="10"/>
        <n v="9"/>
        <n v="4"/>
        <n v="15"/>
        <n v="2"/>
        <n v="6"/>
        <n v="14"/>
        <n v="0"/>
        <n v="3"/>
        <n v="11"/>
        <n v="5"/>
        <n v="8"/>
        <n v="1"/>
        <n v="13"/>
        <m/>
      </sharedItems>
    </cacheField>
    <cacheField name="MonthlySalary" numFmtId="0">
      <sharedItems containsString="0" containsBlank="1" containsNumber="1" containsInteger="1" minValue="30249" maxValue="89699"/>
    </cacheField>
    <cacheField name="PerformanceRating" numFmtId="0">
      <sharedItems containsString="0" containsBlank="1" containsNumber="1" containsInteger="1" minValue="1" maxValue="5"/>
    </cacheField>
    <cacheField name="TrainingHours" numFmtId="0">
      <sharedItems containsString="0" containsBlank="1" containsNumber="1" containsInteger="1" minValue="5" maxValue="60"/>
    </cacheField>
    <cacheField name="ProjectsCompleted" numFmtId="0">
      <sharedItems containsString="0" containsBlank="1" containsNumber="1" containsInteger="1" minValue="1" maxValue="12"/>
    </cacheField>
    <cacheField name="WorkLifeBalance" numFmtId="0">
      <sharedItems containsString="0" containsBlank="1" containsNumber="1" containsInteger="1" minValue="1" maxValue="5"/>
    </cacheField>
    <cacheField name="JobSatisfaction" numFmtId="0">
      <sharedItems containsString="0" containsBlank="1" containsNumber="1" containsInteger="1" minValue="1" maxValue="5"/>
    </cacheField>
    <cacheField name="Attrition" numFmtId="0">
      <sharedItems containsBlank="1" count="3">
        <s v="No"/>
        <s v="Yes"/>
        <m/>
      </sharedItems>
    </cacheField>
    <cacheField name="Attrition Flag" numFmtId="0">
      <sharedItems containsString="0" containsBlank="1" containsNumber="1" containsInteger="1" minValue="0" maxValue="1"/>
    </cacheField>
  </cacheFields>
  <extLst>
    <ext xmlns:x14="http://schemas.microsoft.com/office/spreadsheetml/2009/9/main" uri="{725AE2AE-9491-48be-B2B4-4EB974FC3084}">
      <x14:pivotCacheDefinition pivotCacheId="268320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E001"/>
    <x v="0"/>
    <x v="0"/>
    <x v="0"/>
    <n v="32"/>
    <x v="0"/>
    <n v="36227"/>
    <n v="1"/>
    <n v="53"/>
    <n v="1"/>
    <n v="2"/>
    <n v="1"/>
    <x v="0"/>
    <n v="0"/>
  </r>
  <r>
    <s v="E002"/>
    <x v="1"/>
    <x v="1"/>
    <x v="0"/>
    <n v="24"/>
    <x v="1"/>
    <n v="66081"/>
    <n v="5"/>
    <n v="25"/>
    <n v="1"/>
    <n v="4"/>
    <n v="2"/>
    <x v="0"/>
    <n v="0"/>
  </r>
  <r>
    <s v="E003"/>
    <x v="1"/>
    <x v="2"/>
    <x v="0"/>
    <n v="44"/>
    <x v="2"/>
    <n v="44476"/>
    <n v="2"/>
    <n v="28"/>
    <n v="4"/>
    <n v="4"/>
    <n v="4"/>
    <x v="0"/>
    <n v="0"/>
  </r>
  <r>
    <s v="E004"/>
    <x v="2"/>
    <x v="3"/>
    <x v="0"/>
    <n v="36"/>
    <x v="3"/>
    <n v="81575"/>
    <n v="4"/>
    <n v="24"/>
    <n v="4"/>
    <n v="3"/>
    <n v="4"/>
    <x v="0"/>
    <n v="0"/>
  </r>
  <r>
    <s v="E005"/>
    <x v="1"/>
    <x v="2"/>
    <x v="0"/>
    <n v="22"/>
    <x v="4"/>
    <n v="46791"/>
    <n v="4"/>
    <n v="26"/>
    <n v="11"/>
    <n v="3"/>
    <n v="5"/>
    <x v="0"/>
    <n v="0"/>
  </r>
  <r>
    <s v="E006"/>
    <x v="3"/>
    <x v="4"/>
    <x v="1"/>
    <n v="24"/>
    <x v="0"/>
    <n v="48241"/>
    <n v="4"/>
    <n v="10"/>
    <n v="2"/>
    <n v="3"/>
    <n v="5"/>
    <x v="0"/>
    <n v="0"/>
  </r>
  <r>
    <s v="E007"/>
    <x v="1"/>
    <x v="5"/>
    <x v="0"/>
    <n v="49"/>
    <x v="1"/>
    <n v="41002"/>
    <n v="4"/>
    <n v="13"/>
    <n v="5"/>
    <n v="5"/>
    <n v="3"/>
    <x v="1"/>
    <n v="1"/>
  </r>
  <r>
    <s v="E008"/>
    <x v="4"/>
    <x v="6"/>
    <x v="0"/>
    <n v="25"/>
    <x v="2"/>
    <n v="83214"/>
    <n v="3"/>
    <n v="8"/>
    <n v="12"/>
    <n v="2"/>
    <n v="3"/>
    <x v="0"/>
    <n v="0"/>
  </r>
  <r>
    <s v="E009"/>
    <x v="0"/>
    <x v="7"/>
    <x v="0"/>
    <n v="33"/>
    <x v="2"/>
    <n v="85981"/>
    <n v="3"/>
    <n v="7"/>
    <n v="9"/>
    <n v="2"/>
    <n v="2"/>
    <x v="0"/>
    <n v="0"/>
  </r>
  <r>
    <s v="E010"/>
    <x v="1"/>
    <x v="5"/>
    <x v="0"/>
    <n v="45"/>
    <x v="5"/>
    <n v="84674"/>
    <n v="4"/>
    <n v="39"/>
    <n v="11"/>
    <n v="4"/>
    <n v="5"/>
    <x v="0"/>
    <n v="0"/>
  </r>
  <r>
    <s v="E011"/>
    <x v="4"/>
    <x v="8"/>
    <x v="1"/>
    <n v="46"/>
    <x v="6"/>
    <n v="57506"/>
    <n v="4"/>
    <n v="27"/>
    <n v="7"/>
    <n v="4"/>
    <n v="5"/>
    <x v="0"/>
    <n v="0"/>
  </r>
  <r>
    <s v="E012"/>
    <x v="5"/>
    <x v="9"/>
    <x v="1"/>
    <n v="27"/>
    <x v="5"/>
    <n v="83439"/>
    <n v="1"/>
    <n v="47"/>
    <n v="3"/>
    <n v="3"/>
    <n v="4"/>
    <x v="0"/>
    <n v="0"/>
  </r>
  <r>
    <s v="E013"/>
    <x v="3"/>
    <x v="10"/>
    <x v="1"/>
    <n v="45"/>
    <x v="7"/>
    <n v="39851"/>
    <n v="5"/>
    <n v="38"/>
    <n v="4"/>
    <n v="3"/>
    <n v="5"/>
    <x v="0"/>
    <n v="0"/>
  </r>
  <r>
    <s v="E014"/>
    <x v="3"/>
    <x v="10"/>
    <x v="0"/>
    <n v="42"/>
    <x v="8"/>
    <n v="42361"/>
    <n v="1"/>
    <n v="56"/>
    <n v="10"/>
    <n v="1"/>
    <n v="2"/>
    <x v="0"/>
    <n v="0"/>
  </r>
  <r>
    <s v="E015"/>
    <x v="0"/>
    <x v="11"/>
    <x v="0"/>
    <n v="29"/>
    <x v="9"/>
    <n v="35707"/>
    <n v="2"/>
    <n v="50"/>
    <n v="8"/>
    <n v="4"/>
    <n v="5"/>
    <x v="0"/>
    <n v="0"/>
  </r>
  <r>
    <s v="E016"/>
    <x v="1"/>
    <x v="2"/>
    <x v="0"/>
    <n v="29"/>
    <x v="9"/>
    <n v="51562"/>
    <n v="3"/>
    <n v="13"/>
    <n v="3"/>
    <n v="1"/>
    <n v="3"/>
    <x v="1"/>
    <n v="1"/>
  </r>
  <r>
    <s v="E017"/>
    <x v="2"/>
    <x v="12"/>
    <x v="0"/>
    <n v="24"/>
    <x v="10"/>
    <n v="65392"/>
    <n v="5"/>
    <n v="23"/>
    <n v="6"/>
    <n v="3"/>
    <n v="1"/>
    <x v="0"/>
    <n v="0"/>
  </r>
  <r>
    <s v="E018"/>
    <x v="0"/>
    <x v="0"/>
    <x v="1"/>
    <n v="23"/>
    <x v="3"/>
    <n v="56725"/>
    <n v="1"/>
    <n v="49"/>
    <n v="4"/>
    <n v="2"/>
    <n v="3"/>
    <x v="1"/>
    <n v="1"/>
  </r>
  <r>
    <s v="E019"/>
    <x v="1"/>
    <x v="2"/>
    <x v="0"/>
    <n v="32"/>
    <x v="11"/>
    <n v="82260"/>
    <n v="5"/>
    <n v="17"/>
    <n v="10"/>
    <n v="3"/>
    <n v="5"/>
    <x v="1"/>
    <n v="1"/>
  </r>
  <r>
    <s v="E020"/>
    <x v="1"/>
    <x v="5"/>
    <x v="1"/>
    <n v="50"/>
    <x v="1"/>
    <n v="59225"/>
    <n v="5"/>
    <n v="26"/>
    <n v="4"/>
    <n v="2"/>
    <n v="2"/>
    <x v="0"/>
    <n v="0"/>
  </r>
  <r>
    <s v="E021"/>
    <x v="4"/>
    <x v="6"/>
    <x v="1"/>
    <n v="25"/>
    <x v="6"/>
    <n v="55964"/>
    <n v="3"/>
    <n v="45"/>
    <n v="10"/>
    <n v="5"/>
    <n v="3"/>
    <x v="0"/>
    <n v="0"/>
  </r>
  <r>
    <s v="E022"/>
    <x v="5"/>
    <x v="9"/>
    <x v="1"/>
    <n v="38"/>
    <x v="1"/>
    <n v="81403"/>
    <n v="4"/>
    <n v="57"/>
    <n v="9"/>
    <n v="5"/>
    <n v="5"/>
    <x v="0"/>
    <n v="0"/>
  </r>
  <r>
    <s v="E023"/>
    <x v="5"/>
    <x v="13"/>
    <x v="1"/>
    <n v="40"/>
    <x v="12"/>
    <n v="45363"/>
    <n v="1"/>
    <n v="13"/>
    <n v="3"/>
    <n v="5"/>
    <n v="3"/>
    <x v="1"/>
    <n v="1"/>
  </r>
  <r>
    <s v="E024"/>
    <x v="3"/>
    <x v="14"/>
    <x v="0"/>
    <n v="22"/>
    <x v="0"/>
    <n v="88134"/>
    <n v="1"/>
    <n v="55"/>
    <n v="3"/>
    <n v="3"/>
    <n v="1"/>
    <x v="0"/>
    <n v="0"/>
  </r>
  <r>
    <s v="E025"/>
    <x v="4"/>
    <x v="6"/>
    <x v="1"/>
    <n v="23"/>
    <x v="12"/>
    <n v="35380"/>
    <n v="1"/>
    <n v="25"/>
    <n v="7"/>
    <n v="1"/>
    <n v="4"/>
    <x v="0"/>
    <n v="0"/>
  </r>
  <r>
    <s v="E026"/>
    <x v="1"/>
    <x v="1"/>
    <x v="1"/>
    <n v="47"/>
    <x v="13"/>
    <n v="39681"/>
    <n v="2"/>
    <n v="55"/>
    <n v="2"/>
    <n v="5"/>
    <n v="1"/>
    <x v="0"/>
    <n v="0"/>
  </r>
  <r>
    <s v="E027"/>
    <x v="2"/>
    <x v="15"/>
    <x v="0"/>
    <n v="48"/>
    <x v="11"/>
    <n v="53893"/>
    <n v="1"/>
    <n v="20"/>
    <n v="8"/>
    <n v="2"/>
    <n v="5"/>
    <x v="0"/>
    <n v="0"/>
  </r>
  <r>
    <s v="E028"/>
    <x v="2"/>
    <x v="3"/>
    <x v="1"/>
    <n v="37"/>
    <x v="13"/>
    <n v="85312"/>
    <n v="4"/>
    <n v="38"/>
    <n v="10"/>
    <n v="3"/>
    <n v="2"/>
    <x v="1"/>
    <n v="1"/>
  </r>
  <r>
    <s v="E029"/>
    <x v="5"/>
    <x v="9"/>
    <x v="1"/>
    <n v="35"/>
    <x v="9"/>
    <n v="78653"/>
    <n v="2"/>
    <n v="24"/>
    <n v="7"/>
    <n v="2"/>
    <n v="3"/>
    <x v="1"/>
    <n v="1"/>
  </r>
  <r>
    <s v="E030"/>
    <x v="0"/>
    <x v="11"/>
    <x v="1"/>
    <n v="48"/>
    <x v="14"/>
    <n v="75583"/>
    <n v="1"/>
    <n v="57"/>
    <n v="3"/>
    <n v="5"/>
    <n v="5"/>
    <x v="0"/>
    <n v="0"/>
  </r>
  <r>
    <s v="E031"/>
    <x v="5"/>
    <x v="13"/>
    <x v="1"/>
    <n v="40"/>
    <x v="4"/>
    <n v="56034"/>
    <n v="2"/>
    <n v="32"/>
    <n v="12"/>
    <n v="2"/>
    <n v="2"/>
    <x v="1"/>
    <n v="1"/>
  </r>
  <r>
    <s v="E032"/>
    <x v="2"/>
    <x v="15"/>
    <x v="1"/>
    <n v="44"/>
    <x v="15"/>
    <n v="45369"/>
    <n v="1"/>
    <n v="37"/>
    <n v="6"/>
    <n v="3"/>
    <n v="5"/>
    <x v="0"/>
    <n v="0"/>
  </r>
  <r>
    <s v="E033"/>
    <x v="5"/>
    <x v="16"/>
    <x v="1"/>
    <n v="35"/>
    <x v="1"/>
    <n v="82098"/>
    <n v="4"/>
    <n v="38"/>
    <n v="3"/>
    <n v="5"/>
    <n v="3"/>
    <x v="0"/>
    <n v="0"/>
  </r>
  <r>
    <s v="E034"/>
    <x v="0"/>
    <x v="11"/>
    <x v="0"/>
    <n v="22"/>
    <x v="5"/>
    <n v="59579"/>
    <n v="4"/>
    <n v="52"/>
    <n v="7"/>
    <n v="4"/>
    <n v="4"/>
    <x v="0"/>
    <n v="0"/>
  </r>
  <r>
    <s v="E035"/>
    <x v="0"/>
    <x v="0"/>
    <x v="0"/>
    <n v="40"/>
    <x v="14"/>
    <n v="42538"/>
    <n v="3"/>
    <n v="54"/>
    <n v="3"/>
    <n v="3"/>
    <n v="1"/>
    <x v="1"/>
    <n v="1"/>
  </r>
  <r>
    <s v="E036"/>
    <x v="0"/>
    <x v="7"/>
    <x v="1"/>
    <n v="40"/>
    <x v="13"/>
    <n v="66352"/>
    <n v="4"/>
    <n v="55"/>
    <n v="10"/>
    <n v="1"/>
    <n v="3"/>
    <x v="0"/>
    <n v="0"/>
  </r>
  <r>
    <s v="E037"/>
    <x v="3"/>
    <x v="10"/>
    <x v="1"/>
    <n v="34"/>
    <x v="9"/>
    <n v="65728"/>
    <n v="1"/>
    <n v="54"/>
    <n v="2"/>
    <n v="2"/>
    <n v="2"/>
    <x v="0"/>
    <n v="0"/>
  </r>
  <r>
    <s v="E038"/>
    <x v="1"/>
    <x v="2"/>
    <x v="0"/>
    <n v="45"/>
    <x v="2"/>
    <n v="57950"/>
    <n v="2"/>
    <n v="58"/>
    <n v="4"/>
    <n v="5"/>
    <n v="3"/>
    <x v="1"/>
    <n v="1"/>
  </r>
  <r>
    <s v="E039"/>
    <x v="5"/>
    <x v="16"/>
    <x v="0"/>
    <n v="36"/>
    <x v="5"/>
    <n v="34294"/>
    <n v="5"/>
    <n v="15"/>
    <n v="8"/>
    <n v="4"/>
    <n v="3"/>
    <x v="1"/>
    <n v="1"/>
  </r>
  <r>
    <s v="E040"/>
    <x v="0"/>
    <x v="7"/>
    <x v="0"/>
    <n v="49"/>
    <x v="0"/>
    <n v="88760"/>
    <n v="2"/>
    <n v="58"/>
    <n v="12"/>
    <n v="3"/>
    <n v="1"/>
    <x v="0"/>
    <n v="0"/>
  </r>
  <r>
    <s v="E041"/>
    <x v="3"/>
    <x v="14"/>
    <x v="0"/>
    <n v="28"/>
    <x v="3"/>
    <n v="80792"/>
    <n v="4"/>
    <n v="18"/>
    <n v="11"/>
    <n v="5"/>
    <n v="4"/>
    <x v="0"/>
    <n v="0"/>
  </r>
  <r>
    <s v="E042"/>
    <x v="4"/>
    <x v="6"/>
    <x v="0"/>
    <n v="25"/>
    <x v="0"/>
    <n v="42840"/>
    <n v="2"/>
    <n v="6"/>
    <n v="8"/>
    <n v="2"/>
    <n v="5"/>
    <x v="0"/>
    <n v="0"/>
  </r>
  <r>
    <s v="E043"/>
    <x v="4"/>
    <x v="17"/>
    <x v="1"/>
    <n v="46"/>
    <x v="11"/>
    <n v="35392"/>
    <n v="1"/>
    <n v="9"/>
    <n v="5"/>
    <n v="5"/>
    <n v="2"/>
    <x v="0"/>
    <n v="0"/>
  </r>
  <r>
    <s v="E044"/>
    <x v="2"/>
    <x v="12"/>
    <x v="1"/>
    <n v="35"/>
    <x v="7"/>
    <n v="87245"/>
    <n v="1"/>
    <n v="32"/>
    <n v="1"/>
    <n v="5"/>
    <n v="2"/>
    <x v="0"/>
    <n v="0"/>
  </r>
  <r>
    <s v="E045"/>
    <x v="3"/>
    <x v="4"/>
    <x v="1"/>
    <n v="38"/>
    <x v="14"/>
    <n v="51920"/>
    <n v="4"/>
    <n v="9"/>
    <n v="12"/>
    <n v="4"/>
    <n v="1"/>
    <x v="0"/>
    <n v="0"/>
  </r>
  <r>
    <s v="E046"/>
    <x v="1"/>
    <x v="1"/>
    <x v="1"/>
    <n v="28"/>
    <x v="2"/>
    <n v="64411"/>
    <n v="5"/>
    <n v="37"/>
    <n v="11"/>
    <n v="1"/>
    <n v="1"/>
    <x v="0"/>
    <n v="0"/>
  </r>
  <r>
    <s v="E047"/>
    <x v="4"/>
    <x v="18"/>
    <x v="0"/>
    <n v="30"/>
    <x v="5"/>
    <n v="61560"/>
    <n v="5"/>
    <n v="55"/>
    <n v="5"/>
    <n v="3"/>
    <n v="4"/>
    <x v="0"/>
    <n v="0"/>
  </r>
  <r>
    <s v="E048"/>
    <x v="1"/>
    <x v="5"/>
    <x v="0"/>
    <n v="48"/>
    <x v="5"/>
    <n v="75330"/>
    <n v="5"/>
    <n v="21"/>
    <n v="10"/>
    <n v="3"/>
    <n v="1"/>
    <x v="0"/>
    <n v="0"/>
  </r>
  <r>
    <s v="E049"/>
    <x v="3"/>
    <x v="4"/>
    <x v="0"/>
    <n v="45"/>
    <x v="8"/>
    <n v="73225"/>
    <n v="5"/>
    <n v="59"/>
    <n v="10"/>
    <n v="1"/>
    <n v="4"/>
    <x v="0"/>
    <n v="0"/>
  </r>
  <r>
    <s v="E050"/>
    <x v="5"/>
    <x v="13"/>
    <x v="1"/>
    <n v="33"/>
    <x v="10"/>
    <n v="57486"/>
    <n v="1"/>
    <n v="42"/>
    <n v="7"/>
    <n v="3"/>
    <n v="5"/>
    <x v="0"/>
    <n v="0"/>
  </r>
  <r>
    <s v="E051"/>
    <x v="2"/>
    <x v="15"/>
    <x v="0"/>
    <n v="40"/>
    <x v="10"/>
    <n v="83304"/>
    <n v="1"/>
    <n v="25"/>
    <n v="11"/>
    <n v="5"/>
    <n v="3"/>
    <x v="0"/>
    <n v="0"/>
  </r>
  <r>
    <s v="E052"/>
    <x v="0"/>
    <x v="11"/>
    <x v="1"/>
    <n v="26"/>
    <x v="1"/>
    <n v="56176"/>
    <n v="3"/>
    <n v="34"/>
    <n v="7"/>
    <n v="5"/>
    <n v="5"/>
    <x v="0"/>
    <n v="0"/>
  </r>
  <r>
    <s v="E053"/>
    <x v="1"/>
    <x v="2"/>
    <x v="0"/>
    <n v="30"/>
    <x v="14"/>
    <n v="82335"/>
    <n v="1"/>
    <n v="27"/>
    <n v="7"/>
    <n v="4"/>
    <n v="2"/>
    <x v="0"/>
    <n v="0"/>
  </r>
  <r>
    <s v="E054"/>
    <x v="3"/>
    <x v="14"/>
    <x v="0"/>
    <n v="45"/>
    <x v="2"/>
    <n v="48124"/>
    <n v="4"/>
    <n v="42"/>
    <n v="6"/>
    <n v="5"/>
    <n v="2"/>
    <x v="1"/>
    <n v="1"/>
  </r>
  <r>
    <s v="E055"/>
    <x v="4"/>
    <x v="18"/>
    <x v="0"/>
    <n v="49"/>
    <x v="6"/>
    <n v="37458"/>
    <n v="2"/>
    <n v="39"/>
    <n v="4"/>
    <n v="4"/>
    <n v="5"/>
    <x v="0"/>
    <n v="0"/>
  </r>
  <r>
    <s v="E056"/>
    <x v="0"/>
    <x v="11"/>
    <x v="0"/>
    <n v="36"/>
    <x v="0"/>
    <n v="48526"/>
    <n v="1"/>
    <n v="53"/>
    <n v="1"/>
    <n v="1"/>
    <n v="3"/>
    <x v="1"/>
    <n v="1"/>
  </r>
  <r>
    <s v="E057"/>
    <x v="0"/>
    <x v="0"/>
    <x v="1"/>
    <n v="42"/>
    <x v="4"/>
    <n v="56702"/>
    <n v="2"/>
    <n v="32"/>
    <n v="5"/>
    <n v="2"/>
    <n v="4"/>
    <x v="0"/>
    <n v="0"/>
  </r>
  <r>
    <s v="E058"/>
    <x v="4"/>
    <x v="6"/>
    <x v="1"/>
    <n v="39"/>
    <x v="0"/>
    <n v="74803"/>
    <n v="2"/>
    <n v="53"/>
    <n v="11"/>
    <n v="4"/>
    <n v="5"/>
    <x v="1"/>
    <n v="1"/>
  </r>
  <r>
    <s v="E059"/>
    <x v="3"/>
    <x v="10"/>
    <x v="1"/>
    <n v="47"/>
    <x v="15"/>
    <n v="65329"/>
    <n v="3"/>
    <n v="25"/>
    <n v="1"/>
    <n v="4"/>
    <n v="1"/>
    <x v="0"/>
    <n v="0"/>
  </r>
  <r>
    <s v="E060"/>
    <x v="0"/>
    <x v="11"/>
    <x v="0"/>
    <n v="44"/>
    <x v="1"/>
    <n v="64037"/>
    <n v="4"/>
    <n v="59"/>
    <n v="2"/>
    <n v="4"/>
    <n v="4"/>
    <x v="0"/>
    <n v="0"/>
  </r>
  <r>
    <s v="E061"/>
    <x v="2"/>
    <x v="3"/>
    <x v="0"/>
    <n v="29"/>
    <x v="15"/>
    <n v="41066"/>
    <n v="4"/>
    <n v="42"/>
    <n v="12"/>
    <n v="3"/>
    <n v="3"/>
    <x v="0"/>
    <n v="0"/>
  </r>
  <r>
    <s v="E062"/>
    <x v="0"/>
    <x v="11"/>
    <x v="1"/>
    <n v="36"/>
    <x v="14"/>
    <n v="74174"/>
    <n v="5"/>
    <n v="26"/>
    <n v="3"/>
    <n v="3"/>
    <n v="3"/>
    <x v="0"/>
    <n v="0"/>
  </r>
  <r>
    <s v="E063"/>
    <x v="3"/>
    <x v="14"/>
    <x v="0"/>
    <n v="44"/>
    <x v="6"/>
    <n v="34018"/>
    <n v="1"/>
    <n v="9"/>
    <n v="12"/>
    <n v="4"/>
    <n v="4"/>
    <x v="0"/>
    <n v="0"/>
  </r>
  <r>
    <s v="E064"/>
    <x v="1"/>
    <x v="5"/>
    <x v="1"/>
    <n v="23"/>
    <x v="10"/>
    <n v="35860"/>
    <n v="5"/>
    <n v="52"/>
    <n v="3"/>
    <n v="1"/>
    <n v="3"/>
    <x v="1"/>
    <n v="1"/>
  </r>
  <r>
    <s v="E065"/>
    <x v="1"/>
    <x v="1"/>
    <x v="1"/>
    <n v="47"/>
    <x v="2"/>
    <n v="83497"/>
    <n v="1"/>
    <n v="35"/>
    <n v="12"/>
    <n v="4"/>
    <n v="2"/>
    <x v="0"/>
    <n v="0"/>
  </r>
  <r>
    <s v="E066"/>
    <x v="0"/>
    <x v="7"/>
    <x v="1"/>
    <n v="22"/>
    <x v="12"/>
    <n v="42956"/>
    <n v="5"/>
    <n v="51"/>
    <n v="1"/>
    <n v="4"/>
    <n v="2"/>
    <x v="0"/>
    <n v="0"/>
  </r>
  <r>
    <s v="E067"/>
    <x v="1"/>
    <x v="2"/>
    <x v="0"/>
    <n v="24"/>
    <x v="6"/>
    <n v="85999"/>
    <n v="4"/>
    <n v="8"/>
    <n v="6"/>
    <n v="4"/>
    <n v="3"/>
    <x v="0"/>
    <n v="0"/>
  </r>
  <r>
    <s v="E068"/>
    <x v="3"/>
    <x v="4"/>
    <x v="0"/>
    <n v="42"/>
    <x v="2"/>
    <n v="47312"/>
    <n v="5"/>
    <n v="29"/>
    <n v="8"/>
    <n v="1"/>
    <n v="3"/>
    <x v="0"/>
    <n v="0"/>
  </r>
  <r>
    <s v="E069"/>
    <x v="3"/>
    <x v="4"/>
    <x v="0"/>
    <n v="29"/>
    <x v="14"/>
    <n v="57759"/>
    <n v="1"/>
    <n v="37"/>
    <n v="7"/>
    <n v="2"/>
    <n v="3"/>
    <x v="0"/>
    <n v="0"/>
  </r>
  <r>
    <s v="E070"/>
    <x v="5"/>
    <x v="16"/>
    <x v="1"/>
    <n v="47"/>
    <x v="10"/>
    <n v="64117"/>
    <n v="4"/>
    <n v="42"/>
    <n v="11"/>
    <n v="2"/>
    <n v="5"/>
    <x v="0"/>
    <n v="0"/>
  </r>
  <r>
    <s v="E071"/>
    <x v="5"/>
    <x v="9"/>
    <x v="0"/>
    <n v="35"/>
    <x v="15"/>
    <n v="40235"/>
    <n v="4"/>
    <n v="25"/>
    <n v="7"/>
    <n v="5"/>
    <n v="3"/>
    <x v="1"/>
    <n v="1"/>
  </r>
  <r>
    <s v="E072"/>
    <x v="3"/>
    <x v="10"/>
    <x v="0"/>
    <n v="49"/>
    <x v="2"/>
    <n v="50775"/>
    <n v="2"/>
    <n v="15"/>
    <n v="3"/>
    <n v="4"/>
    <n v="5"/>
    <x v="0"/>
    <n v="0"/>
  </r>
  <r>
    <s v="E073"/>
    <x v="4"/>
    <x v="17"/>
    <x v="1"/>
    <n v="22"/>
    <x v="13"/>
    <n v="45012"/>
    <n v="2"/>
    <n v="41"/>
    <n v="7"/>
    <n v="2"/>
    <n v="3"/>
    <x v="0"/>
    <n v="0"/>
  </r>
  <r>
    <s v="E074"/>
    <x v="0"/>
    <x v="11"/>
    <x v="1"/>
    <n v="42"/>
    <x v="4"/>
    <n v="31529"/>
    <n v="5"/>
    <n v="54"/>
    <n v="7"/>
    <n v="4"/>
    <n v="4"/>
    <x v="0"/>
    <n v="0"/>
  </r>
  <r>
    <s v="E075"/>
    <x v="3"/>
    <x v="14"/>
    <x v="1"/>
    <n v="38"/>
    <x v="3"/>
    <n v="85298"/>
    <n v="2"/>
    <n v="55"/>
    <n v="6"/>
    <n v="2"/>
    <n v="5"/>
    <x v="1"/>
    <n v="1"/>
  </r>
  <r>
    <s v="E076"/>
    <x v="4"/>
    <x v="6"/>
    <x v="0"/>
    <n v="34"/>
    <x v="9"/>
    <n v="34616"/>
    <n v="3"/>
    <n v="57"/>
    <n v="5"/>
    <n v="2"/>
    <n v="5"/>
    <x v="1"/>
    <n v="1"/>
  </r>
  <r>
    <s v="E077"/>
    <x v="1"/>
    <x v="1"/>
    <x v="0"/>
    <n v="48"/>
    <x v="5"/>
    <n v="34085"/>
    <n v="3"/>
    <n v="27"/>
    <n v="12"/>
    <n v="3"/>
    <n v="4"/>
    <x v="0"/>
    <n v="0"/>
  </r>
  <r>
    <s v="E078"/>
    <x v="2"/>
    <x v="12"/>
    <x v="1"/>
    <n v="44"/>
    <x v="12"/>
    <n v="89699"/>
    <n v="3"/>
    <n v="42"/>
    <n v="12"/>
    <n v="4"/>
    <n v="3"/>
    <x v="0"/>
    <n v="0"/>
  </r>
  <r>
    <s v="E079"/>
    <x v="5"/>
    <x v="16"/>
    <x v="0"/>
    <n v="26"/>
    <x v="12"/>
    <n v="45853"/>
    <n v="5"/>
    <n v="44"/>
    <n v="12"/>
    <n v="1"/>
    <n v="2"/>
    <x v="0"/>
    <n v="0"/>
  </r>
  <r>
    <s v="E080"/>
    <x v="3"/>
    <x v="14"/>
    <x v="1"/>
    <n v="23"/>
    <x v="14"/>
    <n v="60363"/>
    <n v="3"/>
    <n v="43"/>
    <n v="8"/>
    <n v="2"/>
    <n v="4"/>
    <x v="0"/>
    <n v="0"/>
  </r>
  <r>
    <s v="E081"/>
    <x v="0"/>
    <x v="7"/>
    <x v="1"/>
    <n v="35"/>
    <x v="2"/>
    <n v="64088"/>
    <n v="3"/>
    <n v="52"/>
    <n v="5"/>
    <n v="4"/>
    <n v="2"/>
    <x v="0"/>
    <n v="0"/>
  </r>
  <r>
    <s v="E082"/>
    <x v="5"/>
    <x v="13"/>
    <x v="1"/>
    <n v="39"/>
    <x v="12"/>
    <n v="76652"/>
    <n v="2"/>
    <n v="16"/>
    <n v="6"/>
    <n v="2"/>
    <n v="5"/>
    <x v="0"/>
    <n v="0"/>
  </r>
  <r>
    <s v="E083"/>
    <x v="3"/>
    <x v="4"/>
    <x v="0"/>
    <n v="22"/>
    <x v="14"/>
    <n v="84589"/>
    <n v="2"/>
    <n v="41"/>
    <n v="10"/>
    <n v="1"/>
    <n v="5"/>
    <x v="0"/>
    <n v="0"/>
  </r>
  <r>
    <s v="E084"/>
    <x v="2"/>
    <x v="3"/>
    <x v="0"/>
    <n v="50"/>
    <x v="0"/>
    <n v="62897"/>
    <n v="3"/>
    <n v="49"/>
    <n v="5"/>
    <n v="2"/>
    <n v="3"/>
    <x v="1"/>
    <n v="1"/>
  </r>
  <r>
    <s v="E085"/>
    <x v="4"/>
    <x v="8"/>
    <x v="0"/>
    <n v="33"/>
    <x v="12"/>
    <n v="34718"/>
    <n v="2"/>
    <n v="29"/>
    <n v="3"/>
    <n v="3"/>
    <n v="4"/>
    <x v="0"/>
    <n v="0"/>
  </r>
  <r>
    <s v="E086"/>
    <x v="1"/>
    <x v="5"/>
    <x v="1"/>
    <n v="41"/>
    <x v="2"/>
    <n v="65370"/>
    <n v="1"/>
    <n v="32"/>
    <n v="1"/>
    <n v="3"/>
    <n v="1"/>
    <x v="0"/>
    <n v="0"/>
  </r>
  <r>
    <s v="E087"/>
    <x v="0"/>
    <x v="7"/>
    <x v="0"/>
    <n v="34"/>
    <x v="13"/>
    <n v="61990"/>
    <n v="3"/>
    <n v="32"/>
    <n v="4"/>
    <n v="3"/>
    <n v="2"/>
    <x v="1"/>
    <n v="1"/>
  </r>
  <r>
    <s v="E088"/>
    <x v="1"/>
    <x v="2"/>
    <x v="1"/>
    <n v="43"/>
    <x v="5"/>
    <n v="67508"/>
    <n v="2"/>
    <n v="7"/>
    <n v="1"/>
    <n v="2"/>
    <n v="3"/>
    <x v="0"/>
    <n v="0"/>
  </r>
  <r>
    <s v="E089"/>
    <x v="5"/>
    <x v="13"/>
    <x v="0"/>
    <n v="22"/>
    <x v="8"/>
    <n v="81370"/>
    <n v="1"/>
    <n v="27"/>
    <n v="11"/>
    <n v="1"/>
    <n v="2"/>
    <x v="1"/>
    <n v="1"/>
  </r>
  <r>
    <s v="E090"/>
    <x v="4"/>
    <x v="18"/>
    <x v="1"/>
    <n v="34"/>
    <x v="6"/>
    <n v="55747"/>
    <n v="4"/>
    <n v="35"/>
    <n v="12"/>
    <n v="5"/>
    <n v="2"/>
    <x v="0"/>
    <n v="0"/>
  </r>
  <r>
    <s v="E091"/>
    <x v="3"/>
    <x v="10"/>
    <x v="0"/>
    <n v="34"/>
    <x v="3"/>
    <n v="72493"/>
    <n v="4"/>
    <n v="49"/>
    <n v="1"/>
    <n v="4"/>
    <n v="5"/>
    <x v="0"/>
    <n v="0"/>
  </r>
  <r>
    <s v="E092"/>
    <x v="4"/>
    <x v="17"/>
    <x v="0"/>
    <n v="25"/>
    <x v="8"/>
    <n v="32002"/>
    <n v="2"/>
    <n v="50"/>
    <n v="4"/>
    <n v="2"/>
    <n v="1"/>
    <x v="0"/>
    <n v="0"/>
  </r>
  <r>
    <s v="E093"/>
    <x v="2"/>
    <x v="3"/>
    <x v="1"/>
    <n v="33"/>
    <x v="10"/>
    <n v="49600"/>
    <n v="5"/>
    <n v="45"/>
    <n v="6"/>
    <n v="1"/>
    <n v="4"/>
    <x v="1"/>
    <n v="1"/>
  </r>
  <r>
    <s v="E094"/>
    <x v="0"/>
    <x v="11"/>
    <x v="0"/>
    <n v="43"/>
    <x v="11"/>
    <n v="81080"/>
    <n v="1"/>
    <n v="55"/>
    <n v="1"/>
    <n v="1"/>
    <n v="1"/>
    <x v="0"/>
    <n v="0"/>
  </r>
  <r>
    <s v="E095"/>
    <x v="2"/>
    <x v="12"/>
    <x v="0"/>
    <n v="48"/>
    <x v="10"/>
    <n v="88452"/>
    <n v="2"/>
    <n v="34"/>
    <n v="2"/>
    <n v="2"/>
    <n v="4"/>
    <x v="0"/>
    <n v="0"/>
  </r>
  <r>
    <s v="E096"/>
    <x v="1"/>
    <x v="2"/>
    <x v="1"/>
    <n v="22"/>
    <x v="12"/>
    <n v="70355"/>
    <n v="1"/>
    <n v="24"/>
    <n v="4"/>
    <n v="1"/>
    <n v="2"/>
    <x v="1"/>
    <n v="1"/>
  </r>
  <r>
    <s v="E097"/>
    <x v="2"/>
    <x v="12"/>
    <x v="1"/>
    <n v="22"/>
    <x v="12"/>
    <n v="62498"/>
    <n v="4"/>
    <n v="19"/>
    <n v="7"/>
    <n v="5"/>
    <n v="3"/>
    <x v="0"/>
    <n v="0"/>
  </r>
  <r>
    <s v="E098"/>
    <x v="4"/>
    <x v="18"/>
    <x v="0"/>
    <n v="48"/>
    <x v="1"/>
    <n v="75950"/>
    <n v="4"/>
    <n v="9"/>
    <n v="11"/>
    <n v="2"/>
    <n v="5"/>
    <x v="0"/>
    <n v="0"/>
  </r>
  <r>
    <s v="E099"/>
    <x v="4"/>
    <x v="17"/>
    <x v="0"/>
    <n v="37"/>
    <x v="9"/>
    <n v="69368"/>
    <n v="4"/>
    <n v="25"/>
    <n v="7"/>
    <n v="5"/>
    <n v="4"/>
    <x v="0"/>
    <n v="0"/>
  </r>
  <r>
    <s v="E100"/>
    <x v="3"/>
    <x v="4"/>
    <x v="0"/>
    <n v="31"/>
    <x v="6"/>
    <n v="89168"/>
    <n v="3"/>
    <n v="17"/>
    <n v="11"/>
    <n v="1"/>
    <n v="3"/>
    <x v="0"/>
    <n v="0"/>
  </r>
  <r>
    <s v="E101"/>
    <x v="5"/>
    <x v="13"/>
    <x v="1"/>
    <n v="32"/>
    <x v="13"/>
    <n v="73033"/>
    <n v="2"/>
    <n v="12"/>
    <n v="8"/>
    <n v="2"/>
    <n v="2"/>
    <x v="1"/>
    <n v="1"/>
  </r>
  <r>
    <s v="E102"/>
    <x v="0"/>
    <x v="7"/>
    <x v="1"/>
    <n v="35"/>
    <x v="2"/>
    <n v="77138"/>
    <n v="3"/>
    <n v="10"/>
    <n v="2"/>
    <n v="3"/>
    <n v="5"/>
    <x v="0"/>
    <n v="0"/>
  </r>
  <r>
    <s v="E103"/>
    <x v="3"/>
    <x v="4"/>
    <x v="0"/>
    <n v="33"/>
    <x v="0"/>
    <n v="42693"/>
    <n v="5"/>
    <n v="39"/>
    <n v="2"/>
    <n v="3"/>
    <n v="2"/>
    <x v="0"/>
    <n v="0"/>
  </r>
  <r>
    <s v="E104"/>
    <x v="1"/>
    <x v="5"/>
    <x v="0"/>
    <n v="43"/>
    <x v="6"/>
    <n v="88273"/>
    <n v="4"/>
    <n v="25"/>
    <n v="9"/>
    <n v="4"/>
    <n v="5"/>
    <x v="0"/>
    <n v="0"/>
  </r>
  <r>
    <s v="E105"/>
    <x v="2"/>
    <x v="12"/>
    <x v="0"/>
    <n v="34"/>
    <x v="12"/>
    <n v="58057"/>
    <n v="2"/>
    <n v="5"/>
    <n v="8"/>
    <n v="1"/>
    <n v="2"/>
    <x v="0"/>
    <n v="0"/>
  </r>
  <r>
    <s v="E106"/>
    <x v="3"/>
    <x v="14"/>
    <x v="1"/>
    <n v="42"/>
    <x v="11"/>
    <n v="40093"/>
    <n v="5"/>
    <n v="37"/>
    <n v="3"/>
    <n v="2"/>
    <n v="5"/>
    <x v="0"/>
    <n v="0"/>
  </r>
  <r>
    <s v="E107"/>
    <x v="1"/>
    <x v="2"/>
    <x v="0"/>
    <n v="49"/>
    <x v="10"/>
    <n v="51329"/>
    <n v="5"/>
    <n v="50"/>
    <n v="6"/>
    <n v="4"/>
    <n v="2"/>
    <x v="1"/>
    <n v="1"/>
  </r>
  <r>
    <s v="E108"/>
    <x v="3"/>
    <x v="4"/>
    <x v="0"/>
    <n v="47"/>
    <x v="0"/>
    <n v="73993"/>
    <n v="1"/>
    <n v="58"/>
    <n v="12"/>
    <n v="2"/>
    <n v="2"/>
    <x v="0"/>
    <n v="0"/>
  </r>
  <r>
    <s v="E109"/>
    <x v="4"/>
    <x v="6"/>
    <x v="1"/>
    <n v="43"/>
    <x v="12"/>
    <n v="35463"/>
    <n v="1"/>
    <n v="22"/>
    <n v="2"/>
    <n v="5"/>
    <n v="2"/>
    <x v="0"/>
    <n v="0"/>
  </r>
  <r>
    <s v="E110"/>
    <x v="4"/>
    <x v="8"/>
    <x v="1"/>
    <n v="38"/>
    <x v="5"/>
    <n v="70706"/>
    <n v="4"/>
    <n v="10"/>
    <n v="8"/>
    <n v="2"/>
    <n v="5"/>
    <x v="0"/>
    <n v="0"/>
  </r>
  <r>
    <s v="E111"/>
    <x v="2"/>
    <x v="12"/>
    <x v="0"/>
    <n v="26"/>
    <x v="6"/>
    <n v="58930"/>
    <n v="1"/>
    <n v="16"/>
    <n v="2"/>
    <n v="1"/>
    <n v="1"/>
    <x v="0"/>
    <n v="0"/>
  </r>
  <r>
    <s v="E112"/>
    <x v="5"/>
    <x v="16"/>
    <x v="0"/>
    <n v="42"/>
    <x v="7"/>
    <n v="33505"/>
    <n v="1"/>
    <n v="58"/>
    <n v="7"/>
    <n v="1"/>
    <n v="3"/>
    <x v="0"/>
    <n v="0"/>
  </r>
  <r>
    <s v="E113"/>
    <x v="0"/>
    <x v="7"/>
    <x v="1"/>
    <n v="25"/>
    <x v="7"/>
    <n v="30692"/>
    <n v="1"/>
    <n v="41"/>
    <n v="5"/>
    <n v="5"/>
    <n v="5"/>
    <x v="1"/>
    <n v="1"/>
  </r>
  <r>
    <s v="E114"/>
    <x v="4"/>
    <x v="18"/>
    <x v="0"/>
    <n v="34"/>
    <x v="5"/>
    <n v="46954"/>
    <n v="4"/>
    <n v="9"/>
    <n v="9"/>
    <n v="5"/>
    <n v="4"/>
    <x v="0"/>
    <n v="0"/>
  </r>
  <r>
    <s v="E115"/>
    <x v="4"/>
    <x v="17"/>
    <x v="0"/>
    <n v="39"/>
    <x v="11"/>
    <n v="78735"/>
    <n v="5"/>
    <n v="38"/>
    <n v="8"/>
    <n v="2"/>
    <n v="5"/>
    <x v="0"/>
    <n v="0"/>
  </r>
  <r>
    <s v="E116"/>
    <x v="3"/>
    <x v="14"/>
    <x v="1"/>
    <n v="45"/>
    <x v="9"/>
    <n v="31623"/>
    <n v="5"/>
    <n v="52"/>
    <n v="8"/>
    <n v="3"/>
    <n v="1"/>
    <x v="0"/>
    <n v="0"/>
  </r>
  <r>
    <s v="E117"/>
    <x v="3"/>
    <x v="4"/>
    <x v="1"/>
    <n v="24"/>
    <x v="12"/>
    <n v="77511"/>
    <n v="3"/>
    <n v="22"/>
    <n v="2"/>
    <n v="4"/>
    <n v="4"/>
    <x v="1"/>
    <n v="1"/>
  </r>
  <r>
    <s v="E118"/>
    <x v="2"/>
    <x v="12"/>
    <x v="1"/>
    <n v="24"/>
    <x v="0"/>
    <n v="65618"/>
    <n v="3"/>
    <n v="49"/>
    <n v="6"/>
    <n v="2"/>
    <n v="3"/>
    <x v="0"/>
    <n v="0"/>
  </r>
  <r>
    <s v="E119"/>
    <x v="1"/>
    <x v="1"/>
    <x v="1"/>
    <n v="38"/>
    <x v="7"/>
    <n v="44478"/>
    <n v="1"/>
    <n v="38"/>
    <n v="8"/>
    <n v="1"/>
    <n v="2"/>
    <x v="0"/>
    <n v="0"/>
  </r>
  <r>
    <s v="E120"/>
    <x v="2"/>
    <x v="12"/>
    <x v="1"/>
    <n v="48"/>
    <x v="4"/>
    <n v="78037"/>
    <n v="2"/>
    <n v="49"/>
    <n v="8"/>
    <n v="5"/>
    <n v="1"/>
    <x v="0"/>
    <n v="0"/>
  </r>
  <r>
    <s v="E121"/>
    <x v="4"/>
    <x v="6"/>
    <x v="1"/>
    <n v="25"/>
    <x v="6"/>
    <n v="86015"/>
    <n v="2"/>
    <n v="51"/>
    <n v="7"/>
    <n v="2"/>
    <n v="1"/>
    <x v="1"/>
    <n v="1"/>
  </r>
  <r>
    <s v="E122"/>
    <x v="2"/>
    <x v="3"/>
    <x v="1"/>
    <n v="22"/>
    <x v="3"/>
    <n v="50928"/>
    <n v="4"/>
    <n v="17"/>
    <n v="5"/>
    <n v="2"/>
    <n v="4"/>
    <x v="0"/>
    <n v="0"/>
  </r>
  <r>
    <s v="E123"/>
    <x v="3"/>
    <x v="4"/>
    <x v="1"/>
    <n v="23"/>
    <x v="14"/>
    <n v="35332"/>
    <n v="4"/>
    <n v="39"/>
    <n v="5"/>
    <n v="2"/>
    <n v="2"/>
    <x v="0"/>
    <n v="0"/>
  </r>
  <r>
    <s v="E124"/>
    <x v="0"/>
    <x v="11"/>
    <x v="1"/>
    <n v="25"/>
    <x v="13"/>
    <n v="56752"/>
    <n v="3"/>
    <n v="51"/>
    <n v="5"/>
    <n v="1"/>
    <n v="5"/>
    <x v="0"/>
    <n v="0"/>
  </r>
  <r>
    <s v="E125"/>
    <x v="5"/>
    <x v="9"/>
    <x v="0"/>
    <n v="48"/>
    <x v="7"/>
    <n v="69149"/>
    <n v="1"/>
    <n v="36"/>
    <n v="7"/>
    <n v="3"/>
    <n v="4"/>
    <x v="0"/>
    <n v="0"/>
  </r>
  <r>
    <s v="E126"/>
    <x v="4"/>
    <x v="6"/>
    <x v="0"/>
    <n v="38"/>
    <x v="10"/>
    <n v="37927"/>
    <n v="4"/>
    <n v="49"/>
    <n v="8"/>
    <n v="1"/>
    <n v="1"/>
    <x v="0"/>
    <n v="0"/>
  </r>
  <r>
    <s v="E127"/>
    <x v="2"/>
    <x v="12"/>
    <x v="1"/>
    <n v="26"/>
    <x v="1"/>
    <n v="35415"/>
    <n v="2"/>
    <n v="31"/>
    <n v="5"/>
    <n v="1"/>
    <n v="2"/>
    <x v="0"/>
    <n v="0"/>
  </r>
  <r>
    <s v="E128"/>
    <x v="5"/>
    <x v="13"/>
    <x v="0"/>
    <n v="43"/>
    <x v="4"/>
    <n v="39400"/>
    <n v="4"/>
    <n v="33"/>
    <n v="9"/>
    <n v="4"/>
    <n v="5"/>
    <x v="0"/>
    <n v="0"/>
  </r>
  <r>
    <s v="E129"/>
    <x v="4"/>
    <x v="17"/>
    <x v="1"/>
    <n v="33"/>
    <x v="13"/>
    <n v="54780"/>
    <n v="5"/>
    <n v="28"/>
    <n v="5"/>
    <n v="1"/>
    <n v="1"/>
    <x v="0"/>
    <n v="0"/>
  </r>
  <r>
    <s v="E130"/>
    <x v="0"/>
    <x v="11"/>
    <x v="0"/>
    <n v="29"/>
    <x v="2"/>
    <n v="43603"/>
    <n v="3"/>
    <n v="11"/>
    <n v="3"/>
    <n v="4"/>
    <n v="1"/>
    <x v="1"/>
    <n v="1"/>
  </r>
  <r>
    <s v="E131"/>
    <x v="4"/>
    <x v="8"/>
    <x v="0"/>
    <n v="35"/>
    <x v="3"/>
    <n v="85696"/>
    <n v="4"/>
    <n v="42"/>
    <n v="1"/>
    <n v="5"/>
    <n v="5"/>
    <x v="0"/>
    <n v="0"/>
  </r>
  <r>
    <s v="E132"/>
    <x v="1"/>
    <x v="1"/>
    <x v="0"/>
    <n v="37"/>
    <x v="10"/>
    <n v="31294"/>
    <n v="4"/>
    <n v="38"/>
    <n v="9"/>
    <n v="3"/>
    <n v="2"/>
    <x v="0"/>
    <n v="0"/>
  </r>
  <r>
    <s v="E133"/>
    <x v="5"/>
    <x v="16"/>
    <x v="1"/>
    <n v="44"/>
    <x v="7"/>
    <n v="81027"/>
    <n v="2"/>
    <n v="34"/>
    <n v="9"/>
    <n v="1"/>
    <n v="3"/>
    <x v="0"/>
    <n v="0"/>
  </r>
  <r>
    <s v="E134"/>
    <x v="4"/>
    <x v="8"/>
    <x v="1"/>
    <n v="23"/>
    <x v="5"/>
    <n v="48532"/>
    <n v="1"/>
    <n v="14"/>
    <n v="7"/>
    <n v="5"/>
    <n v="1"/>
    <x v="0"/>
    <n v="0"/>
  </r>
  <r>
    <s v="E135"/>
    <x v="0"/>
    <x v="7"/>
    <x v="0"/>
    <n v="32"/>
    <x v="14"/>
    <n v="84347"/>
    <n v="3"/>
    <n v="40"/>
    <n v="7"/>
    <n v="1"/>
    <n v="4"/>
    <x v="0"/>
    <n v="0"/>
  </r>
  <r>
    <s v="E136"/>
    <x v="3"/>
    <x v="10"/>
    <x v="1"/>
    <n v="26"/>
    <x v="11"/>
    <n v="87574"/>
    <n v="3"/>
    <n v="24"/>
    <n v="5"/>
    <n v="5"/>
    <n v="5"/>
    <x v="1"/>
    <n v="1"/>
  </r>
  <r>
    <s v="E137"/>
    <x v="3"/>
    <x v="10"/>
    <x v="1"/>
    <n v="25"/>
    <x v="10"/>
    <n v="59650"/>
    <n v="5"/>
    <n v="7"/>
    <n v="3"/>
    <n v="4"/>
    <n v="3"/>
    <x v="0"/>
    <n v="0"/>
  </r>
  <r>
    <s v="E138"/>
    <x v="3"/>
    <x v="10"/>
    <x v="1"/>
    <n v="29"/>
    <x v="14"/>
    <n v="79881"/>
    <n v="4"/>
    <n v="9"/>
    <n v="7"/>
    <n v="3"/>
    <n v="5"/>
    <x v="0"/>
    <n v="0"/>
  </r>
  <r>
    <s v="E139"/>
    <x v="1"/>
    <x v="1"/>
    <x v="0"/>
    <n v="48"/>
    <x v="4"/>
    <n v="41297"/>
    <n v="2"/>
    <n v="42"/>
    <n v="11"/>
    <n v="1"/>
    <n v="3"/>
    <x v="0"/>
    <n v="0"/>
  </r>
  <r>
    <s v="E140"/>
    <x v="2"/>
    <x v="12"/>
    <x v="1"/>
    <n v="39"/>
    <x v="1"/>
    <n v="51517"/>
    <n v="2"/>
    <n v="45"/>
    <n v="4"/>
    <n v="1"/>
    <n v="5"/>
    <x v="1"/>
    <n v="1"/>
  </r>
  <r>
    <s v="E141"/>
    <x v="1"/>
    <x v="2"/>
    <x v="1"/>
    <n v="37"/>
    <x v="8"/>
    <n v="80548"/>
    <n v="5"/>
    <n v="15"/>
    <n v="12"/>
    <n v="2"/>
    <n v="2"/>
    <x v="0"/>
    <n v="0"/>
  </r>
  <r>
    <s v="E142"/>
    <x v="4"/>
    <x v="17"/>
    <x v="1"/>
    <n v="26"/>
    <x v="12"/>
    <n v="30925"/>
    <n v="4"/>
    <n v="6"/>
    <n v="9"/>
    <n v="2"/>
    <n v="2"/>
    <x v="0"/>
    <n v="0"/>
  </r>
  <r>
    <s v="E143"/>
    <x v="4"/>
    <x v="18"/>
    <x v="0"/>
    <n v="31"/>
    <x v="8"/>
    <n v="30599"/>
    <n v="2"/>
    <n v="32"/>
    <n v="1"/>
    <n v="5"/>
    <n v="3"/>
    <x v="0"/>
    <n v="0"/>
  </r>
  <r>
    <s v="E144"/>
    <x v="1"/>
    <x v="5"/>
    <x v="0"/>
    <n v="27"/>
    <x v="15"/>
    <n v="52435"/>
    <n v="4"/>
    <n v="48"/>
    <n v="3"/>
    <n v="1"/>
    <n v="5"/>
    <x v="1"/>
    <n v="1"/>
  </r>
  <r>
    <s v="E145"/>
    <x v="2"/>
    <x v="15"/>
    <x v="1"/>
    <n v="28"/>
    <x v="4"/>
    <n v="85102"/>
    <n v="4"/>
    <n v="23"/>
    <n v="5"/>
    <n v="2"/>
    <n v="2"/>
    <x v="0"/>
    <n v="0"/>
  </r>
  <r>
    <s v="E146"/>
    <x v="0"/>
    <x v="11"/>
    <x v="0"/>
    <n v="28"/>
    <x v="2"/>
    <n v="49968"/>
    <n v="4"/>
    <n v="37"/>
    <n v="11"/>
    <n v="2"/>
    <n v="4"/>
    <x v="0"/>
    <n v="0"/>
  </r>
  <r>
    <s v="E147"/>
    <x v="4"/>
    <x v="18"/>
    <x v="0"/>
    <n v="24"/>
    <x v="12"/>
    <n v="45724"/>
    <n v="1"/>
    <n v="8"/>
    <n v="8"/>
    <n v="4"/>
    <n v="2"/>
    <x v="0"/>
    <n v="0"/>
  </r>
  <r>
    <s v="E148"/>
    <x v="0"/>
    <x v="7"/>
    <x v="1"/>
    <n v="26"/>
    <x v="3"/>
    <n v="86266"/>
    <n v="5"/>
    <n v="51"/>
    <n v="10"/>
    <n v="3"/>
    <n v="5"/>
    <x v="1"/>
    <n v="1"/>
  </r>
  <r>
    <s v="E149"/>
    <x v="2"/>
    <x v="15"/>
    <x v="0"/>
    <n v="35"/>
    <x v="4"/>
    <n v="82484"/>
    <n v="4"/>
    <n v="31"/>
    <n v="12"/>
    <n v="3"/>
    <n v="5"/>
    <x v="0"/>
    <n v="0"/>
  </r>
  <r>
    <s v="E150"/>
    <x v="3"/>
    <x v="4"/>
    <x v="0"/>
    <n v="42"/>
    <x v="15"/>
    <n v="86902"/>
    <n v="1"/>
    <n v="13"/>
    <n v="10"/>
    <n v="2"/>
    <n v="3"/>
    <x v="0"/>
    <n v="0"/>
  </r>
  <r>
    <s v="E151"/>
    <x v="4"/>
    <x v="6"/>
    <x v="0"/>
    <n v="22"/>
    <x v="6"/>
    <n v="65151"/>
    <n v="4"/>
    <n v="52"/>
    <n v="1"/>
    <n v="5"/>
    <n v="5"/>
    <x v="0"/>
    <n v="0"/>
  </r>
  <r>
    <s v="E152"/>
    <x v="4"/>
    <x v="8"/>
    <x v="1"/>
    <n v="44"/>
    <x v="15"/>
    <n v="43182"/>
    <n v="2"/>
    <n v="41"/>
    <n v="1"/>
    <n v="2"/>
    <n v="2"/>
    <x v="0"/>
    <n v="0"/>
  </r>
  <r>
    <s v="E153"/>
    <x v="1"/>
    <x v="1"/>
    <x v="0"/>
    <n v="44"/>
    <x v="5"/>
    <n v="84190"/>
    <n v="2"/>
    <n v="33"/>
    <n v="5"/>
    <n v="2"/>
    <n v="3"/>
    <x v="0"/>
    <n v="0"/>
  </r>
  <r>
    <s v="E154"/>
    <x v="1"/>
    <x v="5"/>
    <x v="0"/>
    <n v="27"/>
    <x v="13"/>
    <n v="56333"/>
    <n v="5"/>
    <n v="41"/>
    <n v="11"/>
    <n v="3"/>
    <n v="3"/>
    <x v="0"/>
    <n v="0"/>
  </r>
  <r>
    <s v="E155"/>
    <x v="1"/>
    <x v="2"/>
    <x v="0"/>
    <n v="49"/>
    <x v="8"/>
    <n v="64504"/>
    <n v="2"/>
    <n v="13"/>
    <n v="5"/>
    <n v="2"/>
    <n v="3"/>
    <x v="1"/>
    <n v="1"/>
  </r>
  <r>
    <s v="E156"/>
    <x v="2"/>
    <x v="3"/>
    <x v="0"/>
    <n v="31"/>
    <x v="2"/>
    <n v="44390"/>
    <n v="1"/>
    <n v="60"/>
    <n v="12"/>
    <n v="2"/>
    <n v="4"/>
    <x v="0"/>
    <n v="0"/>
  </r>
  <r>
    <s v="E157"/>
    <x v="1"/>
    <x v="1"/>
    <x v="1"/>
    <n v="36"/>
    <x v="9"/>
    <n v="66261"/>
    <n v="1"/>
    <n v="47"/>
    <n v="8"/>
    <n v="5"/>
    <n v="2"/>
    <x v="0"/>
    <n v="0"/>
  </r>
  <r>
    <s v="E158"/>
    <x v="5"/>
    <x v="16"/>
    <x v="0"/>
    <n v="39"/>
    <x v="12"/>
    <n v="68264"/>
    <n v="4"/>
    <n v="19"/>
    <n v="10"/>
    <n v="4"/>
    <n v="1"/>
    <x v="0"/>
    <n v="0"/>
  </r>
  <r>
    <s v="E159"/>
    <x v="3"/>
    <x v="10"/>
    <x v="1"/>
    <n v="31"/>
    <x v="11"/>
    <n v="30259"/>
    <n v="1"/>
    <n v="23"/>
    <n v="3"/>
    <n v="1"/>
    <n v="5"/>
    <x v="0"/>
    <n v="0"/>
  </r>
  <r>
    <s v="E160"/>
    <x v="1"/>
    <x v="2"/>
    <x v="1"/>
    <n v="35"/>
    <x v="10"/>
    <n v="71569"/>
    <n v="3"/>
    <n v="44"/>
    <n v="2"/>
    <n v="1"/>
    <n v="4"/>
    <x v="1"/>
    <n v="1"/>
  </r>
  <r>
    <s v="E161"/>
    <x v="0"/>
    <x v="0"/>
    <x v="1"/>
    <n v="42"/>
    <x v="11"/>
    <n v="55412"/>
    <n v="2"/>
    <n v="50"/>
    <n v="3"/>
    <n v="4"/>
    <n v="3"/>
    <x v="0"/>
    <n v="0"/>
  </r>
  <r>
    <s v="E162"/>
    <x v="1"/>
    <x v="2"/>
    <x v="1"/>
    <n v="27"/>
    <x v="0"/>
    <n v="88348"/>
    <n v="5"/>
    <n v="22"/>
    <n v="4"/>
    <n v="3"/>
    <n v="5"/>
    <x v="0"/>
    <n v="0"/>
  </r>
  <r>
    <s v="E163"/>
    <x v="5"/>
    <x v="16"/>
    <x v="1"/>
    <n v="22"/>
    <x v="14"/>
    <n v="41273"/>
    <n v="4"/>
    <n v="17"/>
    <n v="9"/>
    <n v="2"/>
    <n v="1"/>
    <x v="0"/>
    <n v="0"/>
  </r>
  <r>
    <s v="E164"/>
    <x v="0"/>
    <x v="11"/>
    <x v="1"/>
    <n v="28"/>
    <x v="3"/>
    <n v="43382"/>
    <n v="5"/>
    <n v="42"/>
    <n v="11"/>
    <n v="4"/>
    <n v="2"/>
    <x v="0"/>
    <n v="0"/>
  </r>
  <r>
    <s v="E165"/>
    <x v="5"/>
    <x v="9"/>
    <x v="1"/>
    <n v="25"/>
    <x v="5"/>
    <n v="30249"/>
    <n v="1"/>
    <n v="58"/>
    <n v="7"/>
    <n v="3"/>
    <n v="3"/>
    <x v="0"/>
    <n v="0"/>
  </r>
  <r>
    <s v="E166"/>
    <x v="2"/>
    <x v="15"/>
    <x v="1"/>
    <n v="42"/>
    <x v="11"/>
    <n v="33730"/>
    <n v="5"/>
    <n v="42"/>
    <n v="7"/>
    <n v="4"/>
    <n v="1"/>
    <x v="0"/>
    <n v="0"/>
  </r>
  <r>
    <s v="E167"/>
    <x v="0"/>
    <x v="0"/>
    <x v="0"/>
    <n v="48"/>
    <x v="10"/>
    <n v="84193"/>
    <n v="1"/>
    <n v="23"/>
    <n v="6"/>
    <n v="1"/>
    <n v="5"/>
    <x v="0"/>
    <n v="0"/>
  </r>
  <r>
    <s v="E168"/>
    <x v="5"/>
    <x v="16"/>
    <x v="0"/>
    <n v="25"/>
    <x v="11"/>
    <n v="43222"/>
    <n v="3"/>
    <n v="56"/>
    <n v="3"/>
    <n v="5"/>
    <n v="1"/>
    <x v="0"/>
    <n v="0"/>
  </r>
  <r>
    <s v="E169"/>
    <x v="3"/>
    <x v="4"/>
    <x v="0"/>
    <n v="35"/>
    <x v="1"/>
    <n v="54110"/>
    <n v="3"/>
    <n v="29"/>
    <n v="10"/>
    <n v="4"/>
    <n v="2"/>
    <x v="0"/>
    <n v="0"/>
  </r>
  <r>
    <s v="E170"/>
    <x v="4"/>
    <x v="18"/>
    <x v="0"/>
    <n v="22"/>
    <x v="3"/>
    <n v="79478"/>
    <n v="2"/>
    <n v="58"/>
    <n v="3"/>
    <n v="5"/>
    <n v="5"/>
    <x v="0"/>
    <n v="0"/>
  </r>
  <r>
    <s v="E171"/>
    <x v="2"/>
    <x v="12"/>
    <x v="1"/>
    <n v="46"/>
    <x v="13"/>
    <n v="43234"/>
    <n v="4"/>
    <n v="33"/>
    <n v="7"/>
    <n v="1"/>
    <n v="1"/>
    <x v="1"/>
    <n v="1"/>
  </r>
  <r>
    <s v="E172"/>
    <x v="0"/>
    <x v="0"/>
    <x v="0"/>
    <n v="47"/>
    <x v="13"/>
    <n v="37795"/>
    <n v="1"/>
    <n v="34"/>
    <n v="1"/>
    <n v="5"/>
    <n v="2"/>
    <x v="0"/>
    <n v="0"/>
  </r>
  <r>
    <s v="E173"/>
    <x v="0"/>
    <x v="11"/>
    <x v="0"/>
    <n v="36"/>
    <x v="9"/>
    <n v="34414"/>
    <n v="5"/>
    <n v="54"/>
    <n v="3"/>
    <n v="2"/>
    <n v="3"/>
    <x v="0"/>
    <n v="0"/>
  </r>
  <r>
    <s v="E174"/>
    <x v="5"/>
    <x v="13"/>
    <x v="1"/>
    <n v="38"/>
    <x v="10"/>
    <n v="72575"/>
    <n v="5"/>
    <n v="13"/>
    <n v="4"/>
    <n v="5"/>
    <n v="4"/>
    <x v="0"/>
    <n v="0"/>
  </r>
  <r>
    <s v="E175"/>
    <x v="1"/>
    <x v="1"/>
    <x v="1"/>
    <n v="34"/>
    <x v="1"/>
    <n v="70028"/>
    <n v="2"/>
    <n v="35"/>
    <n v="4"/>
    <n v="2"/>
    <n v="3"/>
    <x v="1"/>
    <n v="1"/>
  </r>
  <r>
    <s v="E176"/>
    <x v="4"/>
    <x v="17"/>
    <x v="0"/>
    <n v="33"/>
    <x v="5"/>
    <n v="52335"/>
    <n v="1"/>
    <n v="44"/>
    <n v="11"/>
    <n v="4"/>
    <n v="1"/>
    <x v="0"/>
    <n v="0"/>
  </r>
  <r>
    <s v="E177"/>
    <x v="3"/>
    <x v="14"/>
    <x v="1"/>
    <n v="35"/>
    <x v="9"/>
    <n v="80285"/>
    <n v="3"/>
    <n v="20"/>
    <n v="4"/>
    <n v="5"/>
    <n v="3"/>
    <x v="0"/>
    <n v="0"/>
  </r>
  <r>
    <s v="E178"/>
    <x v="2"/>
    <x v="3"/>
    <x v="1"/>
    <n v="35"/>
    <x v="5"/>
    <n v="72147"/>
    <n v="4"/>
    <n v="14"/>
    <n v="3"/>
    <n v="2"/>
    <n v="3"/>
    <x v="0"/>
    <n v="0"/>
  </r>
  <r>
    <s v="E179"/>
    <x v="3"/>
    <x v="10"/>
    <x v="1"/>
    <n v="49"/>
    <x v="2"/>
    <n v="65653"/>
    <n v="3"/>
    <n v="18"/>
    <n v="1"/>
    <n v="4"/>
    <n v="3"/>
    <x v="0"/>
    <n v="0"/>
  </r>
  <r>
    <s v="E180"/>
    <x v="2"/>
    <x v="3"/>
    <x v="0"/>
    <n v="24"/>
    <x v="8"/>
    <n v="47608"/>
    <n v="3"/>
    <n v="13"/>
    <n v="8"/>
    <n v="5"/>
    <n v="3"/>
    <x v="0"/>
    <n v="0"/>
  </r>
  <r>
    <s v="E181"/>
    <x v="4"/>
    <x v="8"/>
    <x v="0"/>
    <n v="50"/>
    <x v="9"/>
    <n v="35868"/>
    <n v="1"/>
    <n v="50"/>
    <n v="6"/>
    <n v="2"/>
    <n v="3"/>
    <x v="0"/>
    <n v="0"/>
  </r>
  <r>
    <s v="E182"/>
    <x v="4"/>
    <x v="18"/>
    <x v="1"/>
    <n v="50"/>
    <x v="2"/>
    <n v="45403"/>
    <n v="2"/>
    <n v="48"/>
    <n v="2"/>
    <n v="2"/>
    <n v="5"/>
    <x v="1"/>
    <n v="1"/>
  </r>
  <r>
    <s v="E183"/>
    <x v="3"/>
    <x v="14"/>
    <x v="0"/>
    <n v="43"/>
    <x v="5"/>
    <n v="37064"/>
    <n v="1"/>
    <n v="41"/>
    <n v="2"/>
    <n v="2"/>
    <n v="3"/>
    <x v="1"/>
    <n v="1"/>
  </r>
  <r>
    <s v="E184"/>
    <x v="0"/>
    <x v="11"/>
    <x v="1"/>
    <n v="37"/>
    <x v="14"/>
    <n v="51013"/>
    <n v="4"/>
    <n v="19"/>
    <n v="7"/>
    <n v="1"/>
    <n v="4"/>
    <x v="0"/>
    <n v="0"/>
  </r>
  <r>
    <s v="E185"/>
    <x v="1"/>
    <x v="5"/>
    <x v="0"/>
    <n v="41"/>
    <x v="4"/>
    <n v="33855"/>
    <n v="3"/>
    <n v="53"/>
    <n v="12"/>
    <n v="5"/>
    <n v="2"/>
    <x v="0"/>
    <n v="0"/>
  </r>
  <r>
    <s v="E186"/>
    <x v="0"/>
    <x v="7"/>
    <x v="0"/>
    <n v="39"/>
    <x v="0"/>
    <n v="72681"/>
    <n v="4"/>
    <n v="32"/>
    <n v="9"/>
    <n v="1"/>
    <n v="4"/>
    <x v="0"/>
    <n v="0"/>
  </r>
  <r>
    <s v="E187"/>
    <x v="4"/>
    <x v="17"/>
    <x v="0"/>
    <n v="36"/>
    <x v="8"/>
    <n v="67686"/>
    <n v="1"/>
    <n v="38"/>
    <n v="4"/>
    <n v="4"/>
    <n v="3"/>
    <x v="0"/>
    <n v="0"/>
  </r>
  <r>
    <s v="E188"/>
    <x v="2"/>
    <x v="3"/>
    <x v="1"/>
    <n v="38"/>
    <x v="8"/>
    <n v="54635"/>
    <n v="3"/>
    <n v="14"/>
    <n v="6"/>
    <n v="5"/>
    <n v="4"/>
    <x v="0"/>
    <n v="0"/>
  </r>
  <r>
    <s v="E189"/>
    <x v="3"/>
    <x v="14"/>
    <x v="1"/>
    <n v="30"/>
    <x v="6"/>
    <n v="85817"/>
    <n v="4"/>
    <n v="59"/>
    <n v="5"/>
    <n v="1"/>
    <n v="3"/>
    <x v="0"/>
    <n v="0"/>
  </r>
  <r>
    <s v="E190"/>
    <x v="2"/>
    <x v="15"/>
    <x v="1"/>
    <n v="28"/>
    <x v="15"/>
    <n v="83112"/>
    <n v="4"/>
    <n v="24"/>
    <n v="1"/>
    <n v="2"/>
    <n v="1"/>
    <x v="0"/>
    <n v="0"/>
  </r>
  <r>
    <s v="E191"/>
    <x v="1"/>
    <x v="5"/>
    <x v="0"/>
    <n v="50"/>
    <x v="10"/>
    <n v="39512"/>
    <n v="5"/>
    <n v="43"/>
    <n v="1"/>
    <n v="4"/>
    <n v="4"/>
    <x v="0"/>
    <n v="0"/>
  </r>
  <r>
    <s v="E192"/>
    <x v="2"/>
    <x v="12"/>
    <x v="0"/>
    <n v="28"/>
    <x v="10"/>
    <n v="64900"/>
    <n v="5"/>
    <n v="5"/>
    <n v="9"/>
    <n v="4"/>
    <n v="4"/>
    <x v="0"/>
    <n v="0"/>
  </r>
  <r>
    <s v="E193"/>
    <x v="3"/>
    <x v="4"/>
    <x v="0"/>
    <n v="30"/>
    <x v="6"/>
    <n v="86952"/>
    <n v="1"/>
    <n v="35"/>
    <n v="7"/>
    <n v="3"/>
    <n v="3"/>
    <x v="0"/>
    <n v="0"/>
  </r>
  <r>
    <s v="E194"/>
    <x v="4"/>
    <x v="8"/>
    <x v="0"/>
    <n v="43"/>
    <x v="5"/>
    <n v="51643"/>
    <n v="4"/>
    <n v="56"/>
    <n v="6"/>
    <n v="4"/>
    <n v="3"/>
    <x v="1"/>
    <n v="1"/>
  </r>
  <r>
    <s v="E195"/>
    <x v="3"/>
    <x v="14"/>
    <x v="0"/>
    <n v="30"/>
    <x v="8"/>
    <n v="52558"/>
    <n v="4"/>
    <n v="59"/>
    <n v="6"/>
    <n v="3"/>
    <n v="4"/>
    <x v="1"/>
    <n v="1"/>
  </r>
  <r>
    <s v="E196"/>
    <x v="2"/>
    <x v="15"/>
    <x v="1"/>
    <n v="50"/>
    <x v="4"/>
    <n v="46577"/>
    <n v="5"/>
    <n v="19"/>
    <n v="2"/>
    <n v="2"/>
    <n v="2"/>
    <x v="0"/>
    <n v="0"/>
  </r>
  <r>
    <s v="E197"/>
    <x v="0"/>
    <x v="7"/>
    <x v="1"/>
    <n v="42"/>
    <x v="9"/>
    <n v="55174"/>
    <n v="5"/>
    <n v="60"/>
    <n v="6"/>
    <n v="2"/>
    <n v="1"/>
    <x v="0"/>
    <n v="0"/>
  </r>
  <r>
    <s v="E198"/>
    <x v="1"/>
    <x v="1"/>
    <x v="1"/>
    <n v="31"/>
    <x v="14"/>
    <n v="36572"/>
    <n v="5"/>
    <n v="5"/>
    <n v="12"/>
    <n v="1"/>
    <n v="2"/>
    <x v="0"/>
    <n v="0"/>
  </r>
  <r>
    <s v="E199"/>
    <x v="3"/>
    <x v="4"/>
    <x v="0"/>
    <n v="26"/>
    <x v="8"/>
    <n v="80806"/>
    <n v="5"/>
    <n v="20"/>
    <n v="9"/>
    <n v="5"/>
    <n v="2"/>
    <x v="0"/>
    <n v="0"/>
  </r>
  <r>
    <s v="E200"/>
    <x v="1"/>
    <x v="2"/>
    <x v="1"/>
    <n v="35"/>
    <x v="1"/>
    <n v="53614"/>
    <n v="4"/>
    <n v="19"/>
    <n v="7"/>
    <n v="5"/>
    <n v="2"/>
    <x v="1"/>
    <n v="1"/>
  </r>
  <r>
    <m/>
    <x v="6"/>
    <x v="19"/>
    <x v="2"/>
    <m/>
    <x v="16"/>
    <m/>
    <m/>
    <m/>
    <m/>
    <m/>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CC5EF-9613-4A33-9A1E-D21843106AC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3:P20" firstHeaderRow="1" firstDataRow="1" firstDataCol="1"/>
  <pivotFields count="14">
    <pivotField showAll="0"/>
    <pivotField showAll="0">
      <items count="8">
        <item x="2"/>
        <item x="5"/>
        <item x="4"/>
        <item x="0"/>
        <item x="1"/>
        <item x="3"/>
        <item x="6"/>
        <item t="default"/>
      </items>
    </pivotField>
    <pivotField showAll="0">
      <items count="21">
        <item x="14"/>
        <item x="12"/>
        <item x="7"/>
        <item x="18"/>
        <item x="15"/>
        <item x="3"/>
        <item x="16"/>
        <item x="13"/>
        <item x="2"/>
        <item x="11"/>
        <item x="1"/>
        <item x="5"/>
        <item x="6"/>
        <item x="9"/>
        <item x="4"/>
        <item x="10"/>
        <item x="0"/>
        <item x="8"/>
        <item x="17"/>
        <item x="19"/>
        <item t="default"/>
      </items>
    </pivotField>
    <pivotField showAll="0">
      <items count="4">
        <item x="0"/>
        <item x="1"/>
        <item x="2"/>
        <item t="default"/>
      </items>
    </pivotField>
    <pivotField showAll="0"/>
    <pivotField axis="axisRow" showAll="0">
      <items count="18">
        <item x="9"/>
        <item x="14"/>
        <item x="6"/>
        <item x="10"/>
        <item x="4"/>
        <item x="12"/>
        <item x="7"/>
        <item x="1"/>
        <item x="13"/>
        <item x="3"/>
        <item x="2"/>
        <item x="11"/>
        <item x="0"/>
        <item x="15"/>
        <item x="8"/>
        <item x="5"/>
        <item h="1" x="16"/>
        <item t="default"/>
      </items>
    </pivotField>
    <pivotField showAll="0"/>
    <pivotField showAll="0"/>
    <pivotField showAll="0"/>
    <pivotField showAll="0"/>
    <pivotField showAll="0"/>
    <pivotField showAll="0"/>
    <pivotField dataField="1" showAll="0">
      <items count="4">
        <item h="1" x="0"/>
        <item x="1"/>
        <item h="1" x="2"/>
        <item t="default"/>
      </items>
    </pivotField>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Count of Attrition" fld="12" subtotal="count" baseField="1"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87EA13-0425-4055-90D0-53A7007504A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2" firstHeaderRow="1" firstDataRow="1" firstDataCol="1"/>
  <pivotFields count="14">
    <pivotField dataField="1" showAll="0"/>
    <pivotField axis="axisRow" showAll="0">
      <items count="8">
        <item x="2"/>
        <item x="5"/>
        <item x="4"/>
        <item x="0"/>
        <item x="1"/>
        <item x="3"/>
        <item x="6"/>
        <item t="default"/>
      </items>
    </pivotField>
    <pivotField showAll="0">
      <items count="21">
        <item x="14"/>
        <item x="12"/>
        <item x="7"/>
        <item x="18"/>
        <item x="15"/>
        <item x="3"/>
        <item x="16"/>
        <item x="13"/>
        <item x="2"/>
        <item x="11"/>
        <item x="1"/>
        <item x="5"/>
        <item x="6"/>
        <item x="9"/>
        <item x="4"/>
        <item x="10"/>
        <item x="0"/>
        <item x="8"/>
        <item x="17"/>
        <item x="19"/>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EmployeeID" fld="0" subtotal="count"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 chart="4" format="21">
      <pivotArea type="data" outline="0" fieldPosition="0">
        <references count="2">
          <reference field="4294967294" count="1" selected="0">
            <x v="0"/>
          </reference>
          <reference field="1" count="1" selected="0">
            <x v="4"/>
          </reference>
        </references>
      </pivotArea>
    </chartFormat>
    <chartFormat chart="4" format="22">
      <pivotArea type="data" outline="0" fieldPosition="0">
        <references count="2">
          <reference field="4294967294" count="1" selected="0">
            <x v="0"/>
          </reference>
          <reference field="1" count="1" selected="0">
            <x v="5"/>
          </reference>
        </references>
      </pivotArea>
    </chartFormat>
    <chartFormat chart="4"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3FC96-E529-4672-9F3E-22B46183B4F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14">
    <pivotField showAll="0"/>
    <pivotField axis="axisRow" showAll="0">
      <items count="8">
        <item x="2"/>
        <item x="5"/>
        <item x="4"/>
        <item x="0"/>
        <item x="1"/>
        <item x="3"/>
        <item x="6"/>
        <item t="default"/>
      </items>
    </pivotField>
    <pivotField showAll="0">
      <items count="21">
        <item x="14"/>
        <item x="12"/>
        <item x="7"/>
        <item x="18"/>
        <item x="15"/>
        <item x="3"/>
        <item x="16"/>
        <item x="13"/>
        <item x="2"/>
        <item x="11"/>
        <item x="1"/>
        <item x="5"/>
        <item x="6"/>
        <item x="9"/>
        <item x="4"/>
        <item x="10"/>
        <item x="0"/>
        <item x="8"/>
        <item x="17"/>
        <item x="19"/>
        <item t="default"/>
      </items>
    </pivotField>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PerformanceRating" fld="7" subtotal="average" baseField="1"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1" count="1" selected="0">
            <x v="0"/>
          </reference>
        </references>
      </pivotArea>
    </chartFormat>
    <chartFormat chart="10" format="17">
      <pivotArea type="data" outline="0" fieldPosition="0">
        <references count="2">
          <reference field="4294967294" count="1" selected="0">
            <x v="0"/>
          </reference>
          <reference field="1" count="1" selected="0">
            <x v="1"/>
          </reference>
        </references>
      </pivotArea>
    </chartFormat>
    <chartFormat chart="10" format="18">
      <pivotArea type="data" outline="0" fieldPosition="0">
        <references count="2">
          <reference field="4294967294" count="1" selected="0">
            <x v="0"/>
          </reference>
          <reference field="1" count="1" selected="0">
            <x v="2"/>
          </reference>
        </references>
      </pivotArea>
    </chartFormat>
    <chartFormat chart="10" format="19">
      <pivotArea type="data" outline="0" fieldPosition="0">
        <references count="2">
          <reference field="4294967294" count="1" selected="0">
            <x v="0"/>
          </reference>
          <reference field="1" count="1" selected="0">
            <x v="3"/>
          </reference>
        </references>
      </pivotArea>
    </chartFormat>
    <chartFormat chart="10" format="20">
      <pivotArea type="data" outline="0" fieldPosition="0">
        <references count="2">
          <reference field="4294967294" count="1" selected="0">
            <x v="0"/>
          </reference>
          <reference field="1" count="1" selected="0">
            <x v="4"/>
          </reference>
        </references>
      </pivotArea>
    </chartFormat>
    <chartFormat chart="10" format="2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91DE1-BD1F-43C6-B626-AAD26FF1D3F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4:J22" firstHeaderRow="1" firstDataRow="1" firstDataCol="1"/>
  <pivotFields count="14">
    <pivotField showAll="0"/>
    <pivotField axis="axisRow" showAll="0">
      <items count="8">
        <item x="2"/>
        <item x="5"/>
        <item x="4"/>
        <item x="0"/>
        <item x="1"/>
        <item x="3"/>
        <item x="6"/>
        <item t="default"/>
      </items>
    </pivotField>
    <pivotField showAll="0">
      <items count="21">
        <item x="14"/>
        <item x="12"/>
        <item x="7"/>
        <item x="18"/>
        <item x="15"/>
        <item x="3"/>
        <item x="16"/>
        <item x="13"/>
        <item x="2"/>
        <item x="11"/>
        <item x="1"/>
        <item x="5"/>
        <item x="6"/>
        <item x="9"/>
        <item x="4"/>
        <item x="10"/>
        <item x="0"/>
        <item x="8"/>
        <item x="17"/>
        <item x="19"/>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items count="4">
        <item h="1" x="0"/>
        <item x="1"/>
        <item h="1" x="2"/>
        <item t="default"/>
      </items>
    </pivotField>
    <pivotField showAll="0"/>
  </pivotFields>
  <rowFields count="1">
    <field x="1"/>
  </rowFields>
  <rowItems count="8">
    <i>
      <x/>
    </i>
    <i>
      <x v="1"/>
    </i>
    <i>
      <x v="2"/>
    </i>
    <i>
      <x v="3"/>
    </i>
    <i>
      <x v="4"/>
    </i>
    <i>
      <x v="5"/>
    </i>
    <i>
      <x v="6"/>
    </i>
    <i t="grand">
      <x/>
    </i>
  </rowItems>
  <colItems count="1">
    <i/>
  </colItems>
  <dataFields count="1">
    <dataField name="Count of Attrition" fld="1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4C0B6-D587-4A9E-B736-498E988D8F8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4" firstHeaderRow="0" firstDataRow="1" firstDataCol="0"/>
  <pivotFields count="14">
    <pivotField showAll="0"/>
    <pivotField showAll="0">
      <items count="8">
        <item x="2"/>
        <item x="5"/>
        <item x="4"/>
        <item x="0"/>
        <item x="1"/>
        <item x="3"/>
        <item x="6"/>
        <item t="default"/>
      </items>
    </pivotField>
    <pivotField showAll="0">
      <items count="21">
        <item x="14"/>
        <item x="12"/>
        <item x="7"/>
        <item x="18"/>
        <item x="15"/>
        <item x="3"/>
        <item x="16"/>
        <item x="13"/>
        <item x="2"/>
        <item x="11"/>
        <item x="1"/>
        <item x="5"/>
        <item x="6"/>
        <item x="9"/>
        <item x="4"/>
        <item x="10"/>
        <item x="0"/>
        <item x="8"/>
        <item x="17"/>
        <item x="19"/>
        <item t="default"/>
      </items>
    </pivotField>
    <pivotField showAll="0">
      <items count="4">
        <item x="0"/>
        <item x="1"/>
        <item x="2"/>
        <item t="default"/>
      </items>
    </pivotField>
    <pivotField showAll="0"/>
    <pivotField showAll="0"/>
    <pivotField showAll="0"/>
    <pivotField dataField="1" showAll="0" includeNewItemsInFilter="1" sumSubtotal="1"/>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Sum of PerformanceRating" fld="7" baseField="0" baseItem="0"/>
    <dataField name="Sum of TrainingHours" fld="8"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94C369-EB5D-407F-A91D-7AA0892F1415}" autoFormatId="16" applyNumberFormats="0" applyBorderFormats="0" applyFontFormats="0" applyPatternFormats="0" applyAlignmentFormats="0" applyWidthHeightFormats="0">
  <queryTableRefresh nextId="15">
    <queryTableFields count="13">
      <queryTableField id="1" name="EmployeeID" tableColumnId="14"/>
      <queryTableField id="2" name="Department" tableColumnId="2"/>
      <queryTableField id="3" name="JobRole" tableColumnId="3"/>
      <queryTableField id="4" name="Gender" tableColumnId="4"/>
      <queryTableField id="5" name="Age" tableColumnId="5"/>
      <queryTableField id="6" name="YearsAtCompany" tableColumnId="6"/>
      <queryTableField id="7" name="MonthlySalary" tableColumnId="7"/>
      <queryTableField id="8" name="PerformanceRating" tableColumnId="8"/>
      <queryTableField id="9" name="TrainingHours" tableColumnId="9"/>
      <queryTableField id="10" name="ProjectsCompleted" tableColumnId="10"/>
      <queryTableField id="11" name="WorkLifeBalance" tableColumnId="11"/>
      <queryTableField id="12" name="JobSatisfaction" tableColumnId="12"/>
      <queryTableField id="13" name="Attritio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112943-1215-43FE-A5E9-6D1D2E9D3F92}" sourceName="Department">
  <pivotTables>
    <pivotTable tabId="8" name="PivotTable5"/>
    <pivotTable tabId="8" name="PivotTable1"/>
    <pivotTable tabId="8" name="PivotTable6"/>
    <pivotTable tabId="8" name="PivotTable7"/>
    <pivotTable tabId="8" name="PivotTable8"/>
  </pivotTables>
  <data>
    <tabular pivotCacheId="268320093">
      <items count="7">
        <i x="2" s="1"/>
        <i x="5" s="1"/>
        <i x="4" s="1"/>
        <i x="0" s="1"/>
        <i x="1" s="1"/>
        <i x="3" s="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32868AD-9567-4F09-9730-3F901A6174D6}" sourceName="JobRole">
  <pivotTables>
    <pivotTable tabId="8" name="PivotTable5"/>
    <pivotTable tabId="8" name="PivotTable1"/>
    <pivotTable tabId="8" name="PivotTable6"/>
    <pivotTable tabId="8" name="PivotTable7"/>
    <pivotTable tabId="8" name="PivotTable8"/>
  </pivotTables>
  <data>
    <tabular pivotCacheId="268320093">
      <items count="20">
        <i x="14" s="1"/>
        <i x="12" s="1"/>
        <i x="7" s="1"/>
        <i x="18" s="1"/>
        <i x="15" s="1"/>
        <i x="3" s="1"/>
        <i x="16" s="1"/>
        <i x="13" s="1"/>
        <i x="2" s="1"/>
        <i x="11" s="1"/>
        <i x="1" s="1"/>
        <i x="5" s="1"/>
        <i x="6" s="1"/>
        <i x="9" s="1"/>
        <i x="4" s="1"/>
        <i x="10" s="1"/>
        <i x="0" s="1"/>
        <i x="8" s="1"/>
        <i x="17" s="1"/>
        <i x="19"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DDAA71-C385-489D-B9DD-004076F74671}" sourceName="Gender">
  <pivotTables>
    <pivotTable tabId="8" name="PivotTable5"/>
    <pivotTable tabId="8" name="PivotTable1"/>
    <pivotTable tabId="8" name="PivotTable6"/>
    <pivotTable tabId="8" name="PivotTable7"/>
    <pivotTable tabId="8" name="PivotTable8"/>
  </pivotTables>
  <data>
    <tabular pivotCacheId="26832009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BF8F48E-4BEC-4018-9DF4-F28168DCD969}" cache="Slicer_Department" caption="Department" rowHeight="234950"/>
  <slicer name="JobRole" xr10:uid="{BEB7413A-A2A7-4669-AE93-1F2E0AE136D8}" cache="Slicer_JobRole" caption="JobRole" rowHeight="234950"/>
  <slicer name="Gender" xr10:uid="{2869DB5A-FC32-4765-89E5-1BDF27C3919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5727952-79F1-4240-A9BE-11A04A6B81C7}" cache="Slicer_Department" caption="Department" style="SlicerStyleOther2" rowHeight="234950"/>
  <slicer name="JobRole 1" xr10:uid="{DB68A311-F3A6-4F55-ACC2-EF53742D9EB1}" cache="Slicer_JobRole" caption="JobRole" style="SlicerStyleOther2" rowHeight="234950"/>
  <slicer name="Gender 1" xr10:uid="{4A9ADB55-5A4E-4EDE-BDBA-B6E9D4861EDE}" cache="Slicer_Gender" caption="Gender"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88553D-284B-4962-B4E0-0776B097A429}" name="HR_Dashboard_Data" displayName="HR_Dashboard_Data" ref="A1:M203" tableType="queryTable" totalsRowShown="0">
  <autoFilter ref="A1:M203" xr:uid="{5088553D-284B-4962-B4E0-0776B097A429}"/>
  <tableColumns count="13">
    <tableColumn id="14" xr3:uid="{94BF61D3-E5C2-4D13-B486-067068A083EE}" uniqueName="14" name="EmployeeID" queryTableFieldId="1" dataDxfId="4"/>
    <tableColumn id="2" xr3:uid="{A44A77F2-8E0C-452D-A864-02416778C693}" uniqueName="2" name="Department" queryTableFieldId="2" dataDxfId="3"/>
    <tableColumn id="3" xr3:uid="{BF1D76F6-6E68-49D9-8586-F0869A90F324}" uniqueName="3" name="JobRole" queryTableFieldId="3" dataDxfId="2"/>
    <tableColumn id="4" xr3:uid="{D0390AF4-7B78-4FF4-8103-7149AFA0977F}" uniqueName="4" name="Gender" queryTableFieldId="4" dataDxfId="1"/>
    <tableColumn id="5" xr3:uid="{D9C1492A-DDC0-4B81-8CE9-065868E86738}" uniqueName="5" name="Age" queryTableFieldId="5"/>
    <tableColumn id="6" xr3:uid="{E2BEAEDA-B9DA-4861-86F0-ADA957B677E3}" uniqueName="6" name="YearsAtCompany" queryTableFieldId="6"/>
    <tableColumn id="7" xr3:uid="{7492D207-0C65-4BBB-A7E6-E50D82E7E81D}" uniqueName="7" name="MonthlySalary" queryTableFieldId="7"/>
    <tableColumn id="8" xr3:uid="{95EA9693-BD74-4A66-A5AC-ACC1ECD2B967}" uniqueName="8" name="PerformanceRating" queryTableFieldId="8"/>
    <tableColumn id="9" xr3:uid="{C8147C4E-4A42-49C2-A78F-028352EC2953}" uniqueName="9" name="TrainingHours" queryTableFieldId="9"/>
    <tableColumn id="10" xr3:uid="{0B7D8F8A-6A01-4515-971B-0E0BBDC3EA54}" uniqueName="10" name="ProjectsCompleted" queryTableFieldId="10"/>
    <tableColumn id="11" xr3:uid="{E11BEC90-3648-4B7A-B1FB-B5DBA97F88D4}" uniqueName="11" name="WorkLifeBalance" queryTableFieldId="11"/>
    <tableColumn id="12" xr3:uid="{ED92ABCF-E844-4DC9-A895-803F49D44F77}" uniqueName="12" name="JobSatisfaction" queryTableFieldId="12"/>
    <tableColumn id="13" xr3:uid="{EBC01F06-2B4B-4DC2-9565-865AADAF68DA}" uniqueName="13" name="Attrition" queryTableFieldId="13"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workbookViewId="0">
      <selection sqref="A1:M1048576"/>
    </sheetView>
  </sheetViews>
  <sheetFormatPr defaultRowHeight="14.4" x14ac:dyDescent="0.3"/>
  <cols>
    <col min="1" max="2" width="10.77734375" bestFit="1" customWidth="1"/>
    <col min="3" max="3" width="18.44140625" bestFit="1" customWidth="1"/>
    <col min="4" max="4" width="6.88671875" bestFit="1" customWidth="1"/>
    <col min="5" max="5" width="4" bestFit="1" customWidth="1"/>
    <col min="6" max="6" width="15" bestFit="1" customWidth="1"/>
    <col min="7" max="7" width="12.6640625" bestFit="1" customWidth="1"/>
    <col min="8" max="8" width="16.77734375" bestFit="1" customWidth="1"/>
    <col min="9" max="9" width="12.21875" bestFit="1" customWidth="1"/>
    <col min="10" max="10" width="16.5546875" bestFit="1" customWidth="1"/>
    <col min="11" max="11" width="15" bestFit="1" customWidth="1"/>
    <col min="12" max="12" width="13.44140625" bestFit="1" customWidth="1"/>
    <col min="13" max="13" width="7.77734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v>32</v>
      </c>
      <c r="F2">
        <v>12</v>
      </c>
      <c r="G2">
        <v>36227</v>
      </c>
      <c r="H2">
        <v>1</v>
      </c>
      <c r="I2">
        <v>53</v>
      </c>
      <c r="J2">
        <v>1</v>
      </c>
      <c r="K2">
        <v>2</v>
      </c>
      <c r="L2">
        <v>1</v>
      </c>
      <c r="M2" t="s">
        <v>17</v>
      </c>
    </row>
    <row r="3" spans="1:13" x14ac:dyDescent="0.3">
      <c r="A3" t="s">
        <v>18</v>
      </c>
      <c r="B3" t="s">
        <v>19</v>
      </c>
      <c r="C3" t="s">
        <v>20</v>
      </c>
      <c r="D3" t="s">
        <v>16</v>
      </c>
      <c r="E3">
        <v>24</v>
      </c>
      <c r="F3">
        <v>7</v>
      </c>
      <c r="G3">
        <v>66081</v>
      </c>
      <c r="H3">
        <v>5</v>
      </c>
      <c r="I3">
        <v>25</v>
      </c>
      <c r="J3">
        <v>1</v>
      </c>
      <c r="K3">
        <v>4</v>
      </c>
      <c r="L3">
        <v>2</v>
      </c>
      <c r="M3" t="s">
        <v>17</v>
      </c>
    </row>
    <row r="4" spans="1:13" x14ac:dyDescent="0.3">
      <c r="A4" t="s">
        <v>21</v>
      </c>
      <c r="B4" t="s">
        <v>19</v>
      </c>
      <c r="C4" t="s">
        <v>22</v>
      </c>
      <c r="D4" t="s">
        <v>16</v>
      </c>
      <c r="E4">
        <v>44</v>
      </c>
      <c r="F4">
        <v>10</v>
      </c>
      <c r="G4">
        <v>44476</v>
      </c>
      <c r="H4">
        <v>2</v>
      </c>
      <c r="I4">
        <v>28</v>
      </c>
      <c r="J4">
        <v>4</v>
      </c>
      <c r="K4">
        <v>4</v>
      </c>
      <c r="L4">
        <v>4</v>
      </c>
      <c r="M4" t="s">
        <v>17</v>
      </c>
    </row>
    <row r="5" spans="1:13" x14ac:dyDescent="0.3">
      <c r="A5" t="s">
        <v>23</v>
      </c>
      <c r="B5" t="s">
        <v>24</v>
      </c>
      <c r="C5" t="s">
        <v>25</v>
      </c>
      <c r="D5" t="s">
        <v>16</v>
      </c>
      <c r="E5">
        <v>36</v>
      </c>
      <c r="F5">
        <v>9</v>
      </c>
      <c r="G5">
        <v>81575</v>
      </c>
      <c r="H5">
        <v>4</v>
      </c>
      <c r="I5">
        <v>24</v>
      </c>
      <c r="J5">
        <v>4</v>
      </c>
      <c r="K5">
        <v>3</v>
      </c>
      <c r="L5">
        <v>4</v>
      </c>
      <c r="M5" t="s">
        <v>17</v>
      </c>
    </row>
    <row r="6" spans="1:13" x14ac:dyDescent="0.3">
      <c r="A6" t="s">
        <v>26</v>
      </c>
      <c r="B6" t="s">
        <v>19</v>
      </c>
      <c r="C6" t="s">
        <v>22</v>
      </c>
      <c r="D6" t="s">
        <v>16</v>
      </c>
      <c r="E6">
        <v>22</v>
      </c>
      <c r="F6">
        <v>4</v>
      </c>
      <c r="G6">
        <v>46791</v>
      </c>
      <c r="H6">
        <v>4</v>
      </c>
      <c r="I6">
        <v>26</v>
      </c>
      <c r="J6">
        <v>11</v>
      </c>
      <c r="K6">
        <v>3</v>
      </c>
      <c r="L6">
        <v>5</v>
      </c>
      <c r="M6" t="s">
        <v>17</v>
      </c>
    </row>
    <row r="7" spans="1:13" x14ac:dyDescent="0.3">
      <c r="A7" t="s">
        <v>27</v>
      </c>
      <c r="B7" t="s">
        <v>28</v>
      </c>
      <c r="C7" t="s">
        <v>29</v>
      </c>
      <c r="D7" t="s">
        <v>30</v>
      </c>
      <c r="E7">
        <v>24</v>
      </c>
      <c r="F7">
        <v>12</v>
      </c>
      <c r="G7">
        <v>48241</v>
      </c>
      <c r="H7">
        <v>4</v>
      </c>
      <c r="I7">
        <v>10</v>
      </c>
      <c r="J7">
        <v>2</v>
      </c>
      <c r="K7">
        <v>3</v>
      </c>
      <c r="L7">
        <v>5</v>
      </c>
      <c r="M7" t="s">
        <v>17</v>
      </c>
    </row>
    <row r="8" spans="1:13" x14ac:dyDescent="0.3">
      <c r="A8" t="s">
        <v>31</v>
      </c>
      <c r="B8" t="s">
        <v>19</v>
      </c>
      <c r="C8" t="s">
        <v>32</v>
      </c>
      <c r="D8" t="s">
        <v>16</v>
      </c>
      <c r="E8">
        <v>49</v>
      </c>
      <c r="F8">
        <v>7</v>
      </c>
      <c r="G8">
        <v>41002</v>
      </c>
      <c r="H8">
        <v>4</v>
      </c>
      <c r="I8">
        <v>13</v>
      </c>
      <c r="J8">
        <v>5</v>
      </c>
      <c r="K8">
        <v>5</v>
      </c>
      <c r="L8">
        <v>3</v>
      </c>
      <c r="M8" t="s">
        <v>33</v>
      </c>
    </row>
    <row r="9" spans="1:13" x14ac:dyDescent="0.3">
      <c r="A9" t="s">
        <v>34</v>
      </c>
      <c r="B9" t="s">
        <v>35</v>
      </c>
      <c r="C9" t="s">
        <v>36</v>
      </c>
      <c r="D9" t="s">
        <v>16</v>
      </c>
      <c r="E9">
        <v>25</v>
      </c>
      <c r="F9">
        <v>10</v>
      </c>
      <c r="G9">
        <v>83214</v>
      </c>
      <c r="H9">
        <v>3</v>
      </c>
      <c r="I9">
        <v>8</v>
      </c>
      <c r="J9">
        <v>12</v>
      </c>
      <c r="K9">
        <v>2</v>
      </c>
      <c r="L9">
        <v>3</v>
      </c>
      <c r="M9" t="s">
        <v>17</v>
      </c>
    </row>
    <row r="10" spans="1:13" x14ac:dyDescent="0.3">
      <c r="A10" t="s">
        <v>37</v>
      </c>
      <c r="B10" t="s">
        <v>14</v>
      </c>
      <c r="C10" t="s">
        <v>38</v>
      </c>
      <c r="D10" t="s">
        <v>16</v>
      </c>
      <c r="E10">
        <v>33</v>
      </c>
      <c r="F10">
        <v>10</v>
      </c>
      <c r="G10">
        <v>85981</v>
      </c>
      <c r="H10">
        <v>3</v>
      </c>
      <c r="I10">
        <v>7</v>
      </c>
      <c r="J10">
        <v>9</v>
      </c>
      <c r="K10">
        <v>2</v>
      </c>
      <c r="L10">
        <v>2</v>
      </c>
      <c r="M10" t="s">
        <v>17</v>
      </c>
    </row>
    <row r="11" spans="1:13" x14ac:dyDescent="0.3">
      <c r="A11" t="s">
        <v>39</v>
      </c>
      <c r="B11" t="s">
        <v>19</v>
      </c>
      <c r="C11" t="s">
        <v>32</v>
      </c>
      <c r="D11" t="s">
        <v>16</v>
      </c>
      <c r="E11">
        <v>45</v>
      </c>
      <c r="F11">
        <v>15</v>
      </c>
      <c r="G11">
        <v>84674</v>
      </c>
      <c r="H11">
        <v>4</v>
      </c>
      <c r="I11">
        <v>39</v>
      </c>
      <c r="J11">
        <v>11</v>
      </c>
      <c r="K11">
        <v>4</v>
      </c>
      <c r="L11">
        <v>5</v>
      </c>
      <c r="M11" t="s">
        <v>17</v>
      </c>
    </row>
    <row r="12" spans="1:13" x14ac:dyDescent="0.3">
      <c r="A12" t="s">
        <v>40</v>
      </c>
      <c r="B12" t="s">
        <v>35</v>
      </c>
      <c r="C12" t="s">
        <v>41</v>
      </c>
      <c r="D12" t="s">
        <v>30</v>
      </c>
      <c r="E12">
        <v>46</v>
      </c>
      <c r="F12">
        <v>2</v>
      </c>
      <c r="G12">
        <v>57506</v>
      </c>
      <c r="H12">
        <v>4</v>
      </c>
      <c r="I12">
        <v>27</v>
      </c>
      <c r="J12">
        <v>7</v>
      </c>
      <c r="K12">
        <v>4</v>
      </c>
      <c r="L12">
        <v>5</v>
      </c>
      <c r="M12" t="s">
        <v>17</v>
      </c>
    </row>
    <row r="13" spans="1:13" x14ac:dyDescent="0.3">
      <c r="A13" t="s">
        <v>42</v>
      </c>
      <c r="B13" t="s">
        <v>43</v>
      </c>
      <c r="C13" t="s">
        <v>44</v>
      </c>
      <c r="D13" t="s">
        <v>30</v>
      </c>
      <c r="E13">
        <v>27</v>
      </c>
      <c r="F13">
        <v>15</v>
      </c>
      <c r="G13">
        <v>83439</v>
      </c>
      <c r="H13">
        <v>1</v>
      </c>
      <c r="I13">
        <v>47</v>
      </c>
      <c r="J13">
        <v>3</v>
      </c>
      <c r="K13">
        <v>3</v>
      </c>
      <c r="L13">
        <v>4</v>
      </c>
      <c r="M13" t="s">
        <v>17</v>
      </c>
    </row>
    <row r="14" spans="1:13" x14ac:dyDescent="0.3">
      <c r="A14" t="s">
        <v>45</v>
      </c>
      <c r="B14" t="s">
        <v>28</v>
      </c>
      <c r="C14" t="s">
        <v>46</v>
      </c>
      <c r="D14" t="s">
        <v>30</v>
      </c>
      <c r="E14">
        <v>45</v>
      </c>
      <c r="F14">
        <v>6</v>
      </c>
      <c r="G14">
        <v>39851</v>
      </c>
      <c r="H14">
        <v>5</v>
      </c>
      <c r="I14">
        <v>38</v>
      </c>
      <c r="J14">
        <v>4</v>
      </c>
      <c r="K14">
        <v>3</v>
      </c>
      <c r="L14">
        <v>5</v>
      </c>
      <c r="M14" t="s">
        <v>17</v>
      </c>
    </row>
    <row r="15" spans="1:13" x14ac:dyDescent="0.3">
      <c r="A15" t="s">
        <v>47</v>
      </c>
      <c r="B15" t="s">
        <v>28</v>
      </c>
      <c r="C15" t="s">
        <v>46</v>
      </c>
      <c r="D15" t="s">
        <v>16</v>
      </c>
      <c r="E15">
        <v>42</v>
      </c>
      <c r="F15">
        <v>14</v>
      </c>
      <c r="G15">
        <v>42361</v>
      </c>
      <c r="H15">
        <v>1</v>
      </c>
      <c r="I15">
        <v>56</v>
      </c>
      <c r="J15">
        <v>10</v>
      </c>
      <c r="K15">
        <v>1</v>
      </c>
      <c r="L15">
        <v>2</v>
      </c>
      <c r="M15" t="s">
        <v>17</v>
      </c>
    </row>
    <row r="16" spans="1:13" x14ac:dyDescent="0.3">
      <c r="A16" t="s">
        <v>48</v>
      </c>
      <c r="B16" t="s">
        <v>14</v>
      </c>
      <c r="C16" t="s">
        <v>49</v>
      </c>
      <c r="D16" t="s">
        <v>16</v>
      </c>
      <c r="E16">
        <v>29</v>
      </c>
      <c r="F16">
        <v>0</v>
      </c>
      <c r="G16">
        <v>35707</v>
      </c>
      <c r="H16">
        <v>2</v>
      </c>
      <c r="I16">
        <v>50</v>
      </c>
      <c r="J16">
        <v>8</v>
      </c>
      <c r="K16">
        <v>4</v>
      </c>
      <c r="L16">
        <v>5</v>
      </c>
      <c r="M16" t="s">
        <v>17</v>
      </c>
    </row>
    <row r="17" spans="1:13" x14ac:dyDescent="0.3">
      <c r="A17" t="s">
        <v>50</v>
      </c>
      <c r="B17" t="s">
        <v>19</v>
      </c>
      <c r="C17" t="s">
        <v>22</v>
      </c>
      <c r="D17" t="s">
        <v>16</v>
      </c>
      <c r="E17">
        <v>29</v>
      </c>
      <c r="F17">
        <v>0</v>
      </c>
      <c r="G17">
        <v>51562</v>
      </c>
      <c r="H17">
        <v>3</v>
      </c>
      <c r="I17">
        <v>13</v>
      </c>
      <c r="J17">
        <v>3</v>
      </c>
      <c r="K17">
        <v>1</v>
      </c>
      <c r="L17">
        <v>3</v>
      </c>
      <c r="M17" t="s">
        <v>33</v>
      </c>
    </row>
    <row r="18" spans="1:13" x14ac:dyDescent="0.3">
      <c r="A18" t="s">
        <v>51</v>
      </c>
      <c r="B18" t="s">
        <v>24</v>
      </c>
      <c r="C18" t="s">
        <v>52</v>
      </c>
      <c r="D18" t="s">
        <v>16</v>
      </c>
      <c r="E18">
        <v>24</v>
      </c>
      <c r="F18">
        <v>3</v>
      </c>
      <c r="G18">
        <v>65392</v>
      </c>
      <c r="H18">
        <v>5</v>
      </c>
      <c r="I18">
        <v>23</v>
      </c>
      <c r="J18">
        <v>6</v>
      </c>
      <c r="K18">
        <v>3</v>
      </c>
      <c r="L18">
        <v>1</v>
      </c>
      <c r="M18" t="s">
        <v>17</v>
      </c>
    </row>
    <row r="19" spans="1:13" x14ac:dyDescent="0.3">
      <c r="A19" t="s">
        <v>53</v>
      </c>
      <c r="B19" t="s">
        <v>14</v>
      </c>
      <c r="C19" t="s">
        <v>15</v>
      </c>
      <c r="D19" t="s">
        <v>30</v>
      </c>
      <c r="E19">
        <v>23</v>
      </c>
      <c r="F19">
        <v>9</v>
      </c>
      <c r="G19">
        <v>56725</v>
      </c>
      <c r="H19">
        <v>1</v>
      </c>
      <c r="I19">
        <v>49</v>
      </c>
      <c r="J19">
        <v>4</v>
      </c>
      <c r="K19">
        <v>2</v>
      </c>
      <c r="L19">
        <v>3</v>
      </c>
      <c r="M19" t="s">
        <v>33</v>
      </c>
    </row>
    <row r="20" spans="1:13" x14ac:dyDescent="0.3">
      <c r="A20" t="s">
        <v>54</v>
      </c>
      <c r="B20" t="s">
        <v>19</v>
      </c>
      <c r="C20" t="s">
        <v>22</v>
      </c>
      <c r="D20" t="s">
        <v>16</v>
      </c>
      <c r="E20">
        <v>32</v>
      </c>
      <c r="F20">
        <v>11</v>
      </c>
      <c r="G20">
        <v>82260</v>
      </c>
      <c r="H20">
        <v>5</v>
      </c>
      <c r="I20">
        <v>17</v>
      </c>
      <c r="J20">
        <v>10</v>
      </c>
      <c r="K20">
        <v>3</v>
      </c>
      <c r="L20">
        <v>5</v>
      </c>
      <c r="M20" t="s">
        <v>33</v>
      </c>
    </row>
    <row r="21" spans="1:13" x14ac:dyDescent="0.3">
      <c r="A21" t="s">
        <v>55</v>
      </c>
      <c r="B21" t="s">
        <v>19</v>
      </c>
      <c r="C21" t="s">
        <v>32</v>
      </c>
      <c r="D21" t="s">
        <v>30</v>
      </c>
      <c r="E21">
        <v>50</v>
      </c>
      <c r="F21">
        <v>7</v>
      </c>
      <c r="G21">
        <v>59225</v>
      </c>
      <c r="H21">
        <v>5</v>
      </c>
      <c r="I21">
        <v>26</v>
      </c>
      <c r="J21">
        <v>4</v>
      </c>
      <c r="K21">
        <v>2</v>
      </c>
      <c r="L21">
        <v>2</v>
      </c>
      <c r="M21" t="s">
        <v>17</v>
      </c>
    </row>
    <row r="22" spans="1:13" x14ac:dyDescent="0.3">
      <c r="A22" t="s">
        <v>56</v>
      </c>
      <c r="B22" t="s">
        <v>35</v>
      </c>
      <c r="C22" t="s">
        <v>36</v>
      </c>
      <c r="D22" t="s">
        <v>30</v>
      </c>
      <c r="E22">
        <v>25</v>
      </c>
      <c r="F22">
        <v>2</v>
      </c>
      <c r="G22">
        <v>55964</v>
      </c>
      <c r="H22">
        <v>3</v>
      </c>
      <c r="I22">
        <v>45</v>
      </c>
      <c r="J22">
        <v>10</v>
      </c>
      <c r="K22">
        <v>5</v>
      </c>
      <c r="L22">
        <v>3</v>
      </c>
      <c r="M22" t="s">
        <v>17</v>
      </c>
    </row>
    <row r="23" spans="1:13" x14ac:dyDescent="0.3">
      <c r="A23" t="s">
        <v>57</v>
      </c>
      <c r="B23" t="s">
        <v>43</v>
      </c>
      <c r="C23" t="s">
        <v>44</v>
      </c>
      <c r="D23" t="s">
        <v>30</v>
      </c>
      <c r="E23">
        <v>38</v>
      </c>
      <c r="F23">
        <v>7</v>
      </c>
      <c r="G23">
        <v>81403</v>
      </c>
      <c r="H23">
        <v>4</v>
      </c>
      <c r="I23">
        <v>57</v>
      </c>
      <c r="J23">
        <v>9</v>
      </c>
      <c r="K23">
        <v>5</v>
      </c>
      <c r="L23">
        <v>5</v>
      </c>
      <c r="M23" t="s">
        <v>17</v>
      </c>
    </row>
    <row r="24" spans="1:13" x14ac:dyDescent="0.3">
      <c r="A24" t="s">
        <v>58</v>
      </c>
      <c r="B24" t="s">
        <v>43</v>
      </c>
      <c r="C24" t="s">
        <v>59</v>
      </c>
      <c r="D24" t="s">
        <v>30</v>
      </c>
      <c r="E24">
        <v>40</v>
      </c>
      <c r="F24">
        <v>5</v>
      </c>
      <c r="G24">
        <v>45363</v>
      </c>
      <c r="H24">
        <v>1</v>
      </c>
      <c r="I24">
        <v>13</v>
      </c>
      <c r="J24">
        <v>3</v>
      </c>
      <c r="K24">
        <v>5</v>
      </c>
      <c r="L24">
        <v>3</v>
      </c>
      <c r="M24" t="s">
        <v>33</v>
      </c>
    </row>
    <row r="25" spans="1:13" x14ac:dyDescent="0.3">
      <c r="A25" t="s">
        <v>60</v>
      </c>
      <c r="B25" t="s">
        <v>28</v>
      </c>
      <c r="C25" t="s">
        <v>61</v>
      </c>
      <c r="D25" t="s">
        <v>16</v>
      </c>
      <c r="E25">
        <v>22</v>
      </c>
      <c r="F25">
        <v>12</v>
      </c>
      <c r="G25">
        <v>88134</v>
      </c>
      <c r="H25">
        <v>1</v>
      </c>
      <c r="I25">
        <v>55</v>
      </c>
      <c r="J25">
        <v>3</v>
      </c>
      <c r="K25">
        <v>3</v>
      </c>
      <c r="L25">
        <v>1</v>
      </c>
      <c r="M25" t="s">
        <v>17</v>
      </c>
    </row>
    <row r="26" spans="1:13" x14ac:dyDescent="0.3">
      <c r="A26" t="s">
        <v>62</v>
      </c>
      <c r="B26" t="s">
        <v>35</v>
      </c>
      <c r="C26" t="s">
        <v>36</v>
      </c>
      <c r="D26" t="s">
        <v>30</v>
      </c>
      <c r="E26">
        <v>23</v>
      </c>
      <c r="F26">
        <v>5</v>
      </c>
      <c r="G26">
        <v>35380</v>
      </c>
      <c r="H26">
        <v>1</v>
      </c>
      <c r="I26">
        <v>25</v>
      </c>
      <c r="J26">
        <v>7</v>
      </c>
      <c r="K26">
        <v>1</v>
      </c>
      <c r="L26">
        <v>4</v>
      </c>
      <c r="M26" t="s">
        <v>17</v>
      </c>
    </row>
    <row r="27" spans="1:13" x14ac:dyDescent="0.3">
      <c r="A27" t="s">
        <v>63</v>
      </c>
      <c r="B27" t="s">
        <v>19</v>
      </c>
      <c r="C27" t="s">
        <v>20</v>
      </c>
      <c r="D27" t="s">
        <v>30</v>
      </c>
      <c r="E27">
        <v>47</v>
      </c>
      <c r="F27">
        <v>8</v>
      </c>
      <c r="G27">
        <v>39681</v>
      </c>
      <c r="H27">
        <v>2</v>
      </c>
      <c r="I27">
        <v>55</v>
      </c>
      <c r="J27">
        <v>2</v>
      </c>
      <c r="K27">
        <v>5</v>
      </c>
      <c r="L27">
        <v>1</v>
      </c>
      <c r="M27" t="s">
        <v>17</v>
      </c>
    </row>
    <row r="28" spans="1:13" x14ac:dyDescent="0.3">
      <c r="A28" t="s">
        <v>64</v>
      </c>
      <c r="B28" t="s">
        <v>24</v>
      </c>
      <c r="C28" t="s">
        <v>65</v>
      </c>
      <c r="D28" t="s">
        <v>16</v>
      </c>
      <c r="E28">
        <v>48</v>
      </c>
      <c r="F28">
        <v>11</v>
      </c>
      <c r="G28">
        <v>53893</v>
      </c>
      <c r="H28">
        <v>1</v>
      </c>
      <c r="I28">
        <v>20</v>
      </c>
      <c r="J28">
        <v>8</v>
      </c>
      <c r="K28">
        <v>2</v>
      </c>
      <c r="L28">
        <v>5</v>
      </c>
      <c r="M28" t="s">
        <v>17</v>
      </c>
    </row>
    <row r="29" spans="1:13" x14ac:dyDescent="0.3">
      <c r="A29" t="s">
        <v>66</v>
      </c>
      <c r="B29" t="s">
        <v>24</v>
      </c>
      <c r="C29" t="s">
        <v>25</v>
      </c>
      <c r="D29" t="s">
        <v>30</v>
      </c>
      <c r="E29">
        <v>37</v>
      </c>
      <c r="F29">
        <v>8</v>
      </c>
      <c r="G29">
        <v>85312</v>
      </c>
      <c r="H29">
        <v>4</v>
      </c>
      <c r="I29">
        <v>38</v>
      </c>
      <c r="J29">
        <v>10</v>
      </c>
      <c r="K29">
        <v>3</v>
      </c>
      <c r="L29">
        <v>2</v>
      </c>
      <c r="M29" t="s">
        <v>33</v>
      </c>
    </row>
    <row r="30" spans="1:13" x14ac:dyDescent="0.3">
      <c r="A30" t="s">
        <v>67</v>
      </c>
      <c r="B30" t="s">
        <v>43</v>
      </c>
      <c r="C30" t="s">
        <v>44</v>
      </c>
      <c r="D30" t="s">
        <v>30</v>
      </c>
      <c r="E30">
        <v>35</v>
      </c>
      <c r="F30">
        <v>0</v>
      </c>
      <c r="G30">
        <v>78653</v>
      </c>
      <c r="H30">
        <v>2</v>
      </c>
      <c r="I30">
        <v>24</v>
      </c>
      <c r="J30">
        <v>7</v>
      </c>
      <c r="K30">
        <v>2</v>
      </c>
      <c r="L30">
        <v>3</v>
      </c>
      <c r="M30" t="s">
        <v>33</v>
      </c>
    </row>
    <row r="31" spans="1:13" x14ac:dyDescent="0.3">
      <c r="A31" t="s">
        <v>68</v>
      </c>
      <c r="B31" t="s">
        <v>14</v>
      </c>
      <c r="C31" t="s">
        <v>49</v>
      </c>
      <c r="D31" t="s">
        <v>30</v>
      </c>
      <c r="E31">
        <v>48</v>
      </c>
      <c r="F31">
        <v>1</v>
      </c>
      <c r="G31">
        <v>75583</v>
      </c>
      <c r="H31">
        <v>1</v>
      </c>
      <c r="I31">
        <v>57</v>
      </c>
      <c r="J31">
        <v>3</v>
      </c>
      <c r="K31">
        <v>5</v>
      </c>
      <c r="L31">
        <v>5</v>
      </c>
      <c r="M31" t="s">
        <v>17</v>
      </c>
    </row>
    <row r="32" spans="1:13" x14ac:dyDescent="0.3">
      <c r="A32" t="s">
        <v>69</v>
      </c>
      <c r="B32" t="s">
        <v>43</v>
      </c>
      <c r="C32" t="s">
        <v>59</v>
      </c>
      <c r="D32" t="s">
        <v>30</v>
      </c>
      <c r="E32">
        <v>40</v>
      </c>
      <c r="F32">
        <v>4</v>
      </c>
      <c r="G32">
        <v>56034</v>
      </c>
      <c r="H32">
        <v>2</v>
      </c>
      <c r="I32">
        <v>32</v>
      </c>
      <c r="J32">
        <v>12</v>
      </c>
      <c r="K32">
        <v>2</v>
      </c>
      <c r="L32">
        <v>2</v>
      </c>
      <c r="M32" t="s">
        <v>33</v>
      </c>
    </row>
    <row r="33" spans="1:13" x14ac:dyDescent="0.3">
      <c r="A33" t="s">
        <v>70</v>
      </c>
      <c r="B33" t="s">
        <v>24</v>
      </c>
      <c r="C33" t="s">
        <v>65</v>
      </c>
      <c r="D33" t="s">
        <v>30</v>
      </c>
      <c r="E33">
        <v>44</v>
      </c>
      <c r="F33">
        <v>13</v>
      </c>
      <c r="G33">
        <v>45369</v>
      </c>
      <c r="H33">
        <v>1</v>
      </c>
      <c r="I33">
        <v>37</v>
      </c>
      <c r="J33">
        <v>6</v>
      </c>
      <c r="K33">
        <v>3</v>
      </c>
      <c r="L33">
        <v>5</v>
      </c>
      <c r="M33" t="s">
        <v>17</v>
      </c>
    </row>
    <row r="34" spans="1:13" x14ac:dyDescent="0.3">
      <c r="A34" t="s">
        <v>71</v>
      </c>
      <c r="B34" t="s">
        <v>43</v>
      </c>
      <c r="C34" t="s">
        <v>72</v>
      </c>
      <c r="D34" t="s">
        <v>30</v>
      </c>
      <c r="E34">
        <v>35</v>
      </c>
      <c r="F34">
        <v>7</v>
      </c>
      <c r="G34">
        <v>82098</v>
      </c>
      <c r="H34">
        <v>4</v>
      </c>
      <c r="I34">
        <v>38</v>
      </c>
      <c r="J34">
        <v>3</v>
      </c>
      <c r="K34">
        <v>5</v>
      </c>
      <c r="L34">
        <v>3</v>
      </c>
      <c r="M34" t="s">
        <v>17</v>
      </c>
    </row>
    <row r="35" spans="1:13" x14ac:dyDescent="0.3">
      <c r="A35" t="s">
        <v>73</v>
      </c>
      <c r="B35" t="s">
        <v>14</v>
      </c>
      <c r="C35" t="s">
        <v>49</v>
      </c>
      <c r="D35" t="s">
        <v>16</v>
      </c>
      <c r="E35">
        <v>22</v>
      </c>
      <c r="F35">
        <v>15</v>
      </c>
      <c r="G35">
        <v>59579</v>
      </c>
      <c r="H35">
        <v>4</v>
      </c>
      <c r="I35">
        <v>52</v>
      </c>
      <c r="J35">
        <v>7</v>
      </c>
      <c r="K35">
        <v>4</v>
      </c>
      <c r="L35">
        <v>4</v>
      </c>
      <c r="M35" t="s">
        <v>17</v>
      </c>
    </row>
    <row r="36" spans="1:13" x14ac:dyDescent="0.3">
      <c r="A36" t="s">
        <v>74</v>
      </c>
      <c r="B36" t="s">
        <v>14</v>
      </c>
      <c r="C36" t="s">
        <v>15</v>
      </c>
      <c r="D36" t="s">
        <v>16</v>
      </c>
      <c r="E36">
        <v>40</v>
      </c>
      <c r="F36">
        <v>1</v>
      </c>
      <c r="G36">
        <v>42538</v>
      </c>
      <c r="H36">
        <v>3</v>
      </c>
      <c r="I36">
        <v>54</v>
      </c>
      <c r="J36">
        <v>3</v>
      </c>
      <c r="K36">
        <v>3</v>
      </c>
      <c r="L36">
        <v>1</v>
      </c>
      <c r="M36" t="s">
        <v>33</v>
      </c>
    </row>
    <row r="37" spans="1:13" x14ac:dyDescent="0.3">
      <c r="A37" t="s">
        <v>75</v>
      </c>
      <c r="B37" t="s">
        <v>14</v>
      </c>
      <c r="C37" t="s">
        <v>38</v>
      </c>
      <c r="D37" t="s">
        <v>30</v>
      </c>
      <c r="E37">
        <v>40</v>
      </c>
      <c r="F37">
        <v>8</v>
      </c>
      <c r="G37">
        <v>66352</v>
      </c>
      <c r="H37">
        <v>4</v>
      </c>
      <c r="I37">
        <v>55</v>
      </c>
      <c r="J37">
        <v>10</v>
      </c>
      <c r="K37">
        <v>1</v>
      </c>
      <c r="L37">
        <v>3</v>
      </c>
      <c r="M37" t="s">
        <v>17</v>
      </c>
    </row>
    <row r="38" spans="1:13" x14ac:dyDescent="0.3">
      <c r="A38" t="s">
        <v>76</v>
      </c>
      <c r="B38" t="s">
        <v>28</v>
      </c>
      <c r="C38" t="s">
        <v>46</v>
      </c>
      <c r="D38" t="s">
        <v>30</v>
      </c>
      <c r="E38">
        <v>34</v>
      </c>
      <c r="F38">
        <v>0</v>
      </c>
      <c r="G38">
        <v>65728</v>
      </c>
      <c r="H38">
        <v>1</v>
      </c>
      <c r="I38">
        <v>54</v>
      </c>
      <c r="J38">
        <v>2</v>
      </c>
      <c r="K38">
        <v>2</v>
      </c>
      <c r="L38">
        <v>2</v>
      </c>
      <c r="M38" t="s">
        <v>17</v>
      </c>
    </row>
    <row r="39" spans="1:13" x14ac:dyDescent="0.3">
      <c r="A39" t="s">
        <v>77</v>
      </c>
      <c r="B39" t="s">
        <v>19</v>
      </c>
      <c r="C39" t="s">
        <v>22</v>
      </c>
      <c r="D39" t="s">
        <v>16</v>
      </c>
      <c r="E39">
        <v>45</v>
      </c>
      <c r="F39">
        <v>10</v>
      </c>
      <c r="G39">
        <v>57950</v>
      </c>
      <c r="H39">
        <v>2</v>
      </c>
      <c r="I39">
        <v>58</v>
      </c>
      <c r="J39">
        <v>4</v>
      </c>
      <c r="K39">
        <v>5</v>
      </c>
      <c r="L39">
        <v>3</v>
      </c>
      <c r="M39" t="s">
        <v>33</v>
      </c>
    </row>
    <row r="40" spans="1:13" x14ac:dyDescent="0.3">
      <c r="A40" t="s">
        <v>78</v>
      </c>
      <c r="B40" t="s">
        <v>43</v>
      </c>
      <c r="C40" t="s">
        <v>72</v>
      </c>
      <c r="D40" t="s">
        <v>16</v>
      </c>
      <c r="E40">
        <v>36</v>
      </c>
      <c r="F40">
        <v>15</v>
      </c>
      <c r="G40">
        <v>34294</v>
      </c>
      <c r="H40">
        <v>5</v>
      </c>
      <c r="I40">
        <v>15</v>
      </c>
      <c r="J40">
        <v>8</v>
      </c>
      <c r="K40">
        <v>4</v>
      </c>
      <c r="L40">
        <v>3</v>
      </c>
      <c r="M40" t="s">
        <v>33</v>
      </c>
    </row>
    <row r="41" spans="1:13" x14ac:dyDescent="0.3">
      <c r="A41" t="s">
        <v>79</v>
      </c>
      <c r="B41" t="s">
        <v>14</v>
      </c>
      <c r="C41" t="s">
        <v>38</v>
      </c>
      <c r="D41" t="s">
        <v>16</v>
      </c>
      <c r="E41">
        <v>49</v>
      </c>
      <c r="F41">
        <v>12</v>
      </c>
      <c r="G41">
        <v>88760</v>
      </c>
      <c r="H41">
        <v>2</v>
      </c>
      <c r="I41">
        <v>58</v>
      </c>
      <c r="J41">
        <v>12</v>
      </c>
      <c r="K41">
        <v>3</v>
      </c>
      <c r="L41">
        <v>1</v>
      </c>
      <c r="M41" t="s">
        <v>17</v>
      </c>
    </row>
    <row r="42" spans="1:13" x14ac:dyDescent="0.3">
      <c r="A42" t="s">
        <v>80</v>
      </c>
      <c r="B42" t="s">
        <v>28</v>
      </c>
      <c r="C42" t="s">
        <v>61</v>
      </c>
      <c r="D42" t="s">
        <v>16</v>
      </c>
      <c r="E42">
        <v>28</v>
      </c>
      <c r="F42">
        <v>9</v>
      </c>
      <c r="G42">
        <v>80792</v>
      </c>
      <c r="H42">
        <v>4</v>
      </c>
      <c r="I42">
        <v>18</v>
      </c>
      <c r="J42">
        <v>11</v>
      </c>
      <c r="K42">
        <v>5</v>
      </c>
      <c r="L42">
        <v>4</v>
      </c>
      <c r="M42" t="s">
        <v>17</v>
      </c>
    </row>
    <row r="43" spans="1:13" x14ac:dyDescent="0.3">
      <c r="A43" t="s">
        <v>81</v>
      </c>
      <c r="B43" t="s">
        <v>35</v>
      </c>
      <c r="C43" t="s">
        <v>36</v>
      </c>
      <c r="D43" t="s">
        <v>16</v>
      </c>
      <c r="E43">
        <v>25</v>
      </c>
      <c r="F43">
        <v>12</v>
      </c>
      <c r="G43">
        <v>42840</v>
      </c>
      <c r="H43">
        <v>2</v>
      </c>
      <c r="I43">
        <v>6</v>
      </c>
      <c r="J43">
        <v>8</v>
      </c>
      <c r="K43">
        <v>2</v>
      </c>
      <c r="L43">
        <v>5</v>
      </c>
      <c r="M43" t="s">
        <v>17</v>
      </c>
    </row>
    <row r="44" spans="1:13" x14ac:dyDescent="0.3">
      <c r="A44" t="s">
        <v>82</v>
      </c>
      <c r="B44" t="s">
        <v>35</v>
      </c>
      <c r="C44" t="s">
        <v>83</v>
      </c>
      <c r="D44" t="s">
        <v>30</v>
      </c>
      <c r="E44">
        <v>46</v>
      </c>
      <c r="F44">
        <v>11</v>
      </c>
      <c r="G44">
        <v>35392</v>
      </c>
      <c r="H44">
        <v>1</v>
      </c>
      <c r="I44">
        <v>9</v>
      </c>
      <c r="J44">
        <v>5</v>
      </c>
      <c r="K44">
        <v>5</v>
      </c>
      <c r="L44">
        <v>2</v>
      </c>
      <c r="M44" t="s">
        <v>17</v>
      </c>
    </row>
    <row r="45" spans="1:13" x14ac:dyDescent="0.3">
      <c r="A45" t="s">
        <v>84</v>
      </c>
      <c r="B45" t="s">
        <v>24</v>
      </c>
      <c r="C45" t="s">
        <v>52</v>
      </c>
      <c r="D45" t="s">
        <v>30</v>
      </c>
      <c r="E45">
        <v>35</v>
      </c>
      <c r="F45">
        <v>6</v>
      </c>
      <c r="G45">
        <v>87245</v>
      </c>
      <c r="H45">
        <v>1</v>
      </c>
      <c r="I45">
        <v>32</v>
      </c>
      <c r="J45">
        <v>1</v>
      </c>
      <c r="K45">
        <v>5</v>
      </c>
      <c r="L45">
        <v>2</v>
      </c>
      <c r="M45" t="s">
        <v>17</v>
      </c>
    </row>
    <row r="46" spans="1:13" x14ac:dyDescent="0.3">
      <c r="A46" t="s">
        <v>85</v>
      </c>
      <c r="B46" t="s">
        <v>28</v>
      </c>
      <c r="C46" t="s">
        <v>29</v>
      </c>
      <c r="D46" t="s">
        <v>30</v>
      </c>
      <c r="E46">
        <v>38</v>
      </c>
      <c r="F46">
        <v>1</v>
      </c>
      <c r="G46">
        <v>51920</v>
      </c>
      <c r="H46">
        <v>4</v>
      </c>
      <c r="I46">
        <v>9</v>
      </c>
      <c r="J46">
        <v>12</v>
      </c>
      <c r="K46">
        <v>4</v>
      </c>
      <c r="L46">
        <v>1</v>
      </c>
      <c r="M46" t="s">
        <v>17</v>
      </c>
    </row>
    <row r="47" spans="1:13" x14ac:dyDescent="0.3">
      <c r="A47" t="s">
        <v>86</v>
      </c>
      <c r="B47" t="s">
        <v>19</v>
      </c>
      <c r="C47" t="s">
        <v>20</v>
      </c>
      <c r="D47" t="s">
        <v>30</v>
      </c>
      <c r="E47">
        <v>28</v>
      </c>
      <c r="F47">
        <v>10</v>
      </c>
      <c r="G47">
        <v>64411</v>
      </c>
      <c r="H47">
        <v>5</v>
      </c>
      <c r="I47">
        <v>37</v>
      </c>
      <c r="J47">
        <v>11</v>
      </c>
      <c r="K47">
        <v>1</v>
      </c>
      <c r="L47">
        <v>1</v>
      </c>
      <c r="M47" t="s">
        <v>17</v>
      </c>
    </row>
    <row r="48" spans="1:13" x14ac:dyDescent="0.3">
      <c r="A48" t="s">
        <v>87</v>
      </c>
      <c r="B48" t="s">
        <v>35</v>
      </c>
      <c r="C48" t="s">
        <v>88</v>
      </c>
      <c r="D48" t="s">
        <v>16</v>
      </c>
      <c r="E48">
        <v>30</v>
      </c>
      <c r="F48">
        <v>15</v>
      </c>
      <c r="G48">
        <v>61560</v>
      </c>
      <c r="H48">
        <v>5</v>
      </c>
      <c r="I48">
        <v>55</v>
      </c>
      <c r="J48">
        <v>5</v>
      </c>
      <c r="K48">
        <v>3</v>
      </c>
      <c r="L48">
        <v>4</v>
      </c>
      <c r="M48" t="s">
        <v>17</v>
      </c>
    </row>
    <row r="49" spans="1:13" x14ac:dyDescent="0.3">
      <c r="A49" t="s">
        <v>89</v>
      </c>
      <c r="B49" t="s">
        <v>19</v>
      </c>
      <c r="C49" t="s">
        <v>32</v>
      </c>
      <c r="D49" t="s">
        <v>16</v>
      </c>
      <c r="E49">
        <v>48</v>
      </c>
      <c r="F49">
        <v>15</v>
      </c>
      <c r="G49">
        <v>75330</v>
      </c>
      <c r="H49">
        <v>5</v>
      </c>
      <c r="I49">
        <v>21</v>
      </c>
      <c r="J49">
        <v>10</v>
      </c>
      <c r="K49">
        <v>3</v>
      </c>
      <c r="L49">
        <v>1</v>
      </c>
      <c r="M49" t="s">
        <v>17</v>
      </c>
    </row>
    <row r="50" spans="1:13" x14ac:dyDescent="0.3">
      <c r="A50" t="s">
        <v>90</v>
      </c>
      <c r="B50" t="s">
        <v>28</v>
      </c>
      <c r="C50" t="s">
        <v>29</v>
      </c>
      <c r="D50" t="s">
        <v>16</v>
      </c>
      <c r="E50">
        <v>45</v>
      </c>
      <c r="F50">
        <v>14</v>
      </c>
      <c r="G50">
        <v>73225</v>
      </c>
      <c r="H50">
        <v>5</v>
      </c>
      <c r="I50">
        <v>59</v>
      </c>
      <c r="J50">
        <v>10</v>
      </c>
      <c r="K50">
        <v>1</v>
      </c>
      <c r="L50">
        <v>4</v>
      </c>
      <c r="M50" t="s">
        <v>17</v>
      </c>
    </row>
    <row r="51" spans="1:13" x14ac:dyDescent="0.3">
      <c r="A51" t="s">
        <v>91</v>
      </c>
      <c r="B51" t="s">
        <v>43</v>
      </c>
      <c r="C51" t="s">
        <v>59</v>
      </c>
      <c r="D51" t="s">
        <v>30</v>
      </c>
      <c r="E51">
        <v>33</v>
      </c>
      <c r="F51">
        <v>3</v>
      </c>
      <c r="G51">
        <v>57486</v>
      </c>
      <c r="H51">
        <v>1</v>
      </c>
      <c r="I51">
        <v>42</v>
      </c>
      <c r="J51">
        <v>7</v>
      </c>
      <c r="K51">
        <v>3</v>
      </c>
      <c r="L51">
        <v>5</v>
      </c>
      <c r="M51" t="s">
        <v>17</v>
      </c>
    </row>
    <row r="52" spans="1:13" x14ac:dyDescent="0.3">
      <c r="A52" t="s">
        <v>92</v>
      </c>
      <c r="B52" t="s">
        <v>24</v>
      </c>
      <c r="C52" t="s">
        <v>65</v>
      </c>
      <c r="D52" t="s">
        <v>16</v>
      </c>
      <c r="E52">
        <v>40</v>
      </c>
      <c r="F52">
        <v>3</v>
      </c>
      <c r="G52">
        <v>83304</v>
      </c>
      <c r="H52">
        <v>1</v>
      </c>
      <c r="I52">
        <v>25</v>
      </c>
      <c r="J52">
        <v>11</v>
      </c>
      <c r="K52">
        <v>5</v>
      </c>
      <c r="L52">
        <v>3</v>
      </c>
      <c r="M52" t="s">
        <v>17</v>
      </c>
    </row>
    <row r="53" spans="1:13" x14ac:dyDescent="0.3">
      <c r="A53" t="s">
        <v>93</v>
      </c>
      <c r="B53" t="s">
        <v>14</v>
      </c>
      <c r="C53" t="s">
        <v>49</v>
      </c>
      <c r="D53" t="s">
        <v>30</v>
      </c>
      <c r="E53">
        <v>26</v>
      </c>
      <c r="F53">
        <v>7</v>
      </c>
      <c r="G53">
        <v>56176</v>
      </c>
      <c r="H53">
        <v>3</v>
      </c>
      <c r="I53">
        <v>34</v>
      </c>
      <c r="J53">
        <v>7</v>
      </c>
      <c r="K53">
        <v>5</v>
      </c>
      <c r="L53">
        <v>5</v>
      </c>
      <c r="M53" t="s">
        <v>17</v>
      </c>
    </row>
    <row r="54" spans="1:13" x14ac:dyDescent="0.3">
      <c r="A54" t="s">
        <v>94</v>
      </c>
      <c r="B54" t="s">
        <v>19</v>
      </c>
      <c r="C54" t="s">
        <v>22</v>
      </c>
      <c r="D54" t="s">
        <v>16</v>
      </c>
      <c r="E54">
        <v>30</v>
      </c>
      <c r="F54">
        <v>1</v>
      </c>
      <c r="G54">
        <v>82335</v>
      </c>
      <c r="H54">
        <v>1</v>
      </c>
      <c r="I54">
        <v>27</v>
      </c>
      <c r="J54">
        <v>7</v>
      </c>
      <c r="K54">
        <v>4</v>
      </c>
      <c r="L54">
        <v>2</v>
      </c>
      <c r="M54" t="s">
        <v>17</v>
      </c>
    </row>
    <row r="55" spans="1:13" x14ac:dyDescent="0.3">
      <c r="A55" t="s">
        <v>95</v>
      </c>
      <c r="B55" t="s">
        <v>28</v>
      </c>
      <c r="C55" t="s">
        <v>61</v>
      </c>
      <c r="D55" t="s">
        <v>16</v>
      </c>
      <c r="E55">
        <v>45</v>
      </c>
      <c r="F55">
        <v>10</v>
      </c>
      <c r="G55">
        <v>48124</v>
      </c>
      <c r="H55">
        <v>4</v>
      </c>
      <c r="I55">
        <v>42</v>
      </c>
      <c r="J55">
        <v>6</v>
      </c>
      <c r="K55">
        <v>5</v>
      </c>
      <c r="L55">
        <v>2</v>
      </c>
      <c r="M55" t="s">
        <v>33</v>
      </c>
    </row>
    <row r="56" spans="1:13" x14ac:dyDescent="0.3">
      <c r="A56" t="s">
        <v>96</v>
      </c>
      <c r="B56" t="s">
        <v>35</v>
      </c>
      <c r="C56" t="s">
        <v>88</v>
      </c>
      <c r="D56" t="s">
        <v>16</v>
      </c>
      <c r="E56">
        <v>49</v>
      </c>
      <c r="F56">
        <v>2</v>
      </c>
      <c r="G56">
        <v>37458</v>
      </c>
      <c r="H56">
        <v>2</v>
      </c>
      <c r="I56">
        <v>39</v>
      </c>
      <c r="J56">
        <v>4</v>
      </c>
      <c r="K56">
        <v>4</v>
      </c>
      <c r="L56">
        <v>5</v>
      </c>
      <c r="M56" t="s">
        <v>17</v>
      </c>
    </row>
    <row r="57" spans="1:13" x14ac:dyDescent="0.3">
      <c r="A57" t="s">
        <v>97</v>
      </c>
      <c r="B57" t="s">
        <v>14</v>
      </c>
      <c r="C57" t="s">
        <v>49</v>
      </c>
      <c r="D57" t="s">
        <v>16</v>
      </c>
      <c r="E57">
        <v>36</v>
      </c>
      <c r="F57">
        <v>12</v>
      </c>
      <c r="G57">
        <v>48526</v>
      </c>
      <c r="H57">
        <v>1</v>
      </c>
      <c r="I57">
        <v>53</v>
      </c>
      <c r="J57">
        <v>1</v>
      </c>
      <c r="K57">
        <v>1</v>
      </c>
      <c r="L57">
        <v>3</v>
      </c>
      <c r="M57" t="s">
        <v>33</v>
      </c>
    </row>
    <row r="58" spans="1:13" x14ac:dyDescent="0.3">
      <c r="A58" t="s">
        <v>98</v>
      </c>
      <c r="B58" t="s">
        <v>14</v>
      </c>
      <c r="C58" t="s">
        <v>15</v>
      </c>
      <c r="D58" t="s">
        <v>30</v>
      </c>
      <c r="E58">
        <v>42</v>
      </c>
      <c r="F58">
        <v>4</v>
      </c>
      <c r="G58">
        <v>56702</v>
      </c>
      <c r="H58">
        <v>2</v>
      </c>
      <c r="I58">
        <v>32</v>
      </c>
      <c r="J58">
        <v>5</v>
      </c>
      <c r="K58">
        <v>2</v>
      </c>
      <c r="L58">
        <v>4</v>
      </c>
      <c r="M58" t="s">
        <v>17</v>
      </c>
    </row>
    <row r="59" spans="1:13" x14ac:dyDescent="0.3">
      <c r="A59" t="s">
        <v>99</v>
      </c>
      <c r="B59" t="s">
        <v>35</v>
      </c>
      <c r="C59" t="s">
        <v>36</v>
      </c>
      <c r="D59" t="s">
        <v>30</v>
      </c>
      <c r="E59">
        <v>39</v>
      </c>
      <c r="F59">
        <v>12</v>
      </c>
      <c r="G59">
        <v>74803</v>
      </c>
      <c r="H59">
        <v>2</v>
      </c>
      <c r="I59">
        <v>53</v>
      </c>
      <c r="J59">
        <v>11</v>
      </c>
      <c r="K59">
        <v>4</v>
      </c>
      <c r="L59">
        <v>5</v>
      </c>
      <c r="M59" t="s">
        <v>33</v>
      </c>
    </row>
    <row r="60" spans="1:13" x14ac:dyDescent="0.3">
      <c r="A60" t="s">
        <v>100</v>
      </c>
      <c r="B60" t="s">
        <v>28</v>
      </c>
      <c r="C60" t="s">
        <v>46</v>
      </c>
      <c r="D60" t="s">
        <v>30</v>
      </c>
      <c r="E60">
        <v>47</v>
      </c>
      <c r="F60">
        <v>13</v>
      </c>
      <c r="G60">
        <v>65329</v>
      </c>
      <c r="H60">
        <v>3</v>
      </c>
      <c r="I60">
        <v>25</v>
      </c>
      <c r="J60">
        <v>1</v>
      </c>
      <c r="K60">
        <v>4</v>
      </c>
      <c r="L60">
        <v>1</v>
      </c>
      <c r="M60" t="s">
        <v>17</v>
      </c>
    </row>
    <row r="61" spans="1:13" x14ac:dyDescent="0.3">
      <c r="A61" t="s">
        <v>101</v>
      </c>
      <c r="B61" t="s">
        <v>14</v>
      </c>
      <c r="C61" t="s">
        <v>49</v>
      </c>
      <c r="D61" t="s">
        <v>16</v>
      </c>
      <c r="E61">
        <v>44</v>
      </c>
      <c r="F61">
        <v>7</v>
      </c>
      <c r="G61">
        <v>64037</v>
      </c>
      <c r="H61">
        <v>4</v>
      </c>
      <c r="I61">
        <v>59</v>
      </c>
      <c r="J61">
        <v>2</v>
      </c>
      <c r="K61">
        <v>4</v>
      </c>
      <c r="L61">
        <v>4</v>
      </c>
      <c r="M61" t="s">
        <v>17</v>
      </c>
    </row>
    <row r="62" spans="1:13" x14ac:dyDescent="0.3">
      <c r="A62" t="s">
        <v>102</v>
      </c>
      <c r="B62" t="s">
        <v>24</v>
      </c>
      <c r="C62" t="s">
        <v>25</v>
      </c>
      <c r="D62" t="s">
        <v>16</v>
      </c>
      <c r="E62">
        <v>29</v>
      </c>
      <c r="F62">
        <v>13</v>
      </c>
      <c r="G62">
        <v>41066</v>
      </c>
      <c r="H62">
        <v>4</v>
      </c>
      <c r="I62">
        <v>42</v>
      </c>
      <c r="J62">
        <v>12</v>
      </c>
      <c r="K62">
        <v>3</v>
      </c>
      <c r="L62">
        <v>3</v>
      </c>
      <c r="M62" t="s">
        <v>17</v>
      </c>
    </row>
    <row r="63" spans="1:13" x14ac:dyDescent="0.3">
      <c r="A63" t="s">
        <v>103</v>
      </c>
      <c r="B63" t="s">
        <v>14</v>
      </c>
      <c r="C63" t="s">
        <v>49</v>
      </c>
      <c r="D63" t="s">
        <v>30</v>
      </c>
      <c r="E63">
        <v>36</v>
      </c>
      <c r="F63">
        <v>1</v>
      </c>
      <c r="G63">
        <v>74174</v>
      </c>
      <c r="H63">
        <v>5</v>
      </c>
      <c r="I63">
        <v>26</v>
      </c>
      <c r="J63">
        <v>3</v>
      </c>
      <c r="K63">
        <v>3</v>
      </c>
      <c r="L63">
        <v>3</v>
      </c>
      <c r="M63" t="s">
        <v>17</v>
      </c>
    </row>
    <row r="64" spans="1:13" x14ac:dyDescent="0.3">
      <c r="A64" t="s">
        <v>104</v>
      </c>
      <c r="B64" t="s">
        <v>28</v>
      </c>
      <c r="C64" t="s">
        <v>61</v>
      </c>
      <c r="D64" t="s">
        <v>16</v>
      </c>
      <c r="E64">
        <v>44</v>
      </c>
      <c r="F64">
        <v>2</v>
      </c>
      <c r="G64">
        <v>34018</v>
      </c>
      <c r="H64">
        <v>1</v>
      </c>
      <c r="I64">
        <v>9</v>
      </c>
      <c r="J64">
        <v>12</v>
      </c>
      <c r="K64">
        <v>4</v>
      </c>
      <c r="L64">
        <v>4</v>
      </c>
      <c r="M64" t="s">
        <v>17</v>
      </c>
    </row>
    <row r="65" spans="1:13" x14ac:dyDescent="0.3">
      <c r="A65" t="s">
        <v>105</v>
      </c>
      <c r="B65" t="s">
        <v>19</v>
      </c>
      <c r="C65" t="s">
        <v>32</v>
      </c>
      <c r="D65" t="s">
        <v>30</v>
      </c>
      <c r="E65">
        <v>23</v>
      </c>
      <c r="F65">
        <v>3</v>
      </c>
      <c r="G65">
        <v>35860</v>
      </c>
      <c r="H65">
        <v>5</v>
      </c>
      <c r="I65">
        <v>52</v>
      </c>
      <c r="J65">
        <v>3</v>
      </c>
      <c r="K65">
        <v>1</v>
      </c>
      <c r="L65">
        <v>3</v>
      </c>
      <c r="M65" t="s">
        <v>33</v>
      </c>
    </row>
    <row r="66" spans="1:13" x14ac:dyDescent="0.3">
      <c r="A66" t="s">
        <v>106</v>
      </c>
      <c r="B66" t="s">
        <v>19</v>
      </c>
      <c r="C66" t="s">
        <v>20</v>
      </c>
      <c r="D66" t="s">
        <v>30</v>
      </c>
      <c r="E66">
        <v>47</v>
      </c>
      <c r="F66">
        <v>10</v>
      </c>
      <c r="G66">
        <v>83497</v>
      </c>
      <c r="H66">
        <v>1</v>
      </c>
      <c r="I66">
        <v>35</v>
      </c>
      <c r="J66">
        <v>12</v>
      </c>
      <c r="K66">
        <v>4</v>
      </c>
      <c r="L66">
        <v>2</v>
      </c>
      <c r="M66" t="s">
        <v>17</v>
      </c>
    </row>
    <row r="67" spans="1:13" x14ac:dyDescent="0.3">
      <c r="A67" t="s">
        <v>107</v>
      </c>
      <c r="B67" t="s">
        <v>14</v>
      </c>
      <c r="C67" t="s">
        <v>38</v>
      </c>
      <c r="D67" t="s">
        <v>30</v>
      </c>
      <c r="E67">
        <v>22</v>
      </c>
      <c r="F67">
        <v>5</v>
      </c>
      <c r="G67">
        <v>42956</v>
      </c>
      <c r="H67">
        <v>5</v>
      </c>
      <c r="I67">
        <v>51</v>
      </c>
      <c r="J67">
        <v>1</v>
      </c>
      <c r="K67">
        <v>4</v>
      </c>
      <c r="L67">
        <v>2</v>
      </c>
      <c r="M67" t="s">
        <v>17</v>
      </c>
    </row>
    <row r="68" spans="1:13" x14ac:dyDescent="0.3">
      <c r="A68" t="s">
        <v>108</v>
      </c>
      <c r="B68" t="s">
        <v>19</v>
      </c>
      <c r="C68" t="s">
        <v>22</v>
      </c>
      <c r="D68" t="s">
        <v>16</v>
      </c>
      <c r="E68">
        <v>24</v>
      </c>
      <c r="F68">
        <v>2</v>
      </c>
      <c r="G68">
        <v>85999</v>
      </c>
      <c r="H68">
        <v>4</v>
      </c>
      <c r="I68">
        <v>8</v>
      </c>
      <c r="J68">
        <v>6</v>
      </c>
      <c r="K68">
        <v>4</v>
      </c>
      <c r="L68">
        <v>3</v>
      </c>
      <c r="M68" t="s">
        <v>17</v>
      </c>
    </row>
    <row r="69" spans="1:13" x14ac:dyDescent="0.3">
      <c r="A69" t="s">
        <v>109</v>
      </c>
      <c r="B69" t="s">
        <v>28</v>
      </c>
      <c r="C69" t="s">
        <v>29</v>
      </c>
      <c r="D69" t="s">
        <v>16</v>
      </c>
      <c r="E69">
        <v>42</v>
      </c>
      <c r="F69">
        <v>10</v>
      </c>
      <c r="G69">
        <v>47312</v>
      </c>
      <c r="H69">
        <v>5</v>
      </c>
      <c r="I69">
        <v>29</v>
      </c>
      <c r="J69">
        <v>8</v>
      </c>
      <c r="K69">
        <v>1</v>
      </c>
      <c r="L69">
        <v>3</v>
      </c>
      <c r="M69" t="s">
        <v>17</v>
      </c>
    </row>
    <row r="70" spans="1:13" x14ac:dyDescent="0.3">
      <c r="A70" t="s">
        <v>110</v>
      </c>
      <c r="B70" t="s">
        <v>28</v>
      </c>
      <c r="C70" t="s">
        <v>29</v>
      </c>
      <c r="D70" t="s">
        <v>16</v>
      </c>
      <c r="E70">
        <v>29</v>
      </c>
      <c r="F70">
        <v>1</v>
      </c>
      <c r="G70">
        <v>57759</v>
      </c>
      <c r="H70">
        <v>1</v>
      </c>
      <c r="I70">
        <v>37</v>
      </c>
      <c r="J70">
        <v>7</v>
      </c>
      <c r="K70">
        <v>2</v>
      </c>
      <c r="L70">
        <v>3</v>
      </c>
      <c r="M70" t="s">
        <v>17</v>
      </c>
    </row>
    <row r="71" spans="1:13" x14ac:dyDescent="0.3">
      <c r="A71" t="s">
        <v>111</v>
      </c>
      <c r="B71" t="s">
        <v>43</v>
      </c>
      <c r="C71" t="s">
        <v>72</v>
      </c>
      <c r="D71" t="s">
        <v>30</v>
      </c>
      <c r="E71">
        <v>47</v>
      </c>
      <c r="F71">
        <v>3</v>
      </c>
      <c r="G71">
        <v>64117</v>
      </c>
      <c r="H71">
        <v>4</v>
      </c>
      <c r="I71">
        <v>42</v>
      </c>
      <c r="J71">
        <v>11</v>
      </c>
      <c r="K71">
        <v>2</v>
      </c>
      <c r="L71">
        <v>5</v>
      </c>
      <c r="M71" t="s">
        <v>17</v>
      </c>
    </row>
    <row r="72" spans="1:13" x14ac:dyDescent="0.3">
      <c r="A72" t="s">
        <v>112</v>
      </c>
      <c r="B72" t="s">
        <v>43</v>
      </c>
      <c r="C72" t="s">
        <v>44</v>
      </c>
      <c r="D72" t="s">
        <v>16</v>
      </c>
      <c r="E72">
        <v>35</v>
      </c>
      <c r="F72">
        <v>13</v>
      </c>
      <c r="G72">
        <v>40235</v>
      </c>
      <c r="H72">
        <v>4</v>
      </c>
      <c r="I72">
        <v>25</v>
      </c>
      <c r="J72">
        <v>7</v>
      </c>
      <c r="K72">
        <v>5</v>
      </c>
      <c r="L72">
        <v>3</v>
      </c>
      <c r="M72" t="s">
        <v>33</v>
      </c>
    </row>
    <row r="73" spans="1:13" x14ac:dyDescent="0.3">
      <c r="A73" t="s">
        <v>113</v>
      </c>
      <c r="B73" t="s">
        <v>28</v>
      </c>
      <c r="C73" t="s">
        <v>46</v>
      </c>
      <c r="D73" t="s">
        <v>16</v>
      </c>
      <c r="E73">
        <v>49</v>
      </c>
      <c r="F73">
        <v>10</v>
      </c>
      <c r="G73">
        <v>50775</v>
      </c>
      <c r="H73">
        <v>2</v>
      </c>
      <c r="I73">
        <v>15</v>
      </c>
      <c r="J73">
        <v>3</v>
      </c>
      <c r="K73">
        <v>4</v>
      </c>
      <c r="L73">
        <v>5</v>
      </c>
      <c r="M73" t="s">
        <v>17</v>
      </c>
    </row>
    <row r="74" spans="1:13" x14ac:dyDescent="0.3">
      <c r="A74" t="s">
        <v>114</v>
      </c>
      <c r="B74" t="s">
        <v>35</v>
      </c>
      <c r="C74" t="s">
        <v>83</v>
      </c>
      <c r="D74" t="s">
        <v>30</v>
      </c>
      <c r="E74">
        <v>22</v>
      </c>
      <c r="F74">
        <v>8</v>
      </c>
      <c r="G74">
        <v>45012</v>
      </c>
      <c r="H74">
        <v>2</v>
      </c>
      <c r="I74">
        <v>41</v>
      </c>
      <c r="J74">
        <v>7</v>
      </c>
      <c r="K74">
        <v>2</v>
      </c>
      <c r="L74">
        <v>3</v>
      </c>
      <c r="M74" t="s">
        <v>17</v>
      </c>
    </row>
    <row r="75" spans="1:13" x14ac:dyDescent="0.3">
      <c r="A75" t="s">
        <v>115</v>
      </c>
      <c r="B75" t="s">
        <v>14</v>
      </c>
      <c r="C75" t="s">
        <v>49</v>
      </c>
      <c r="D75" t="s">
        <v>30</v>
      </c>
      <c r="E75">
        <v>42</v>
      </c>
      <c r="F75">
        <v>4</v>
      </c>
      <c r="G75">
        <v>31529</v>
      </c>
      <c r="H75">
        <v>5</v>
      </c>
      <c r="I75">
        <v>54</v>
      </c>
      <c r="J75">
        <v>7</v>
      </c>
      <c r="K75">
        <v>4</v>
      </c>
      <c r="L75">
        <v>4</v>
      </c>
      <c r="M75" t="s">
        <v>17</v>
      </c>
    </row>
    <row r="76" spans="1:13" x14ac:dyDescent="0.3">
      <c r="A76" t="s">
        <v>116</v>
      </c>
      <c r="B76" t="s">
        <v>28</v>
      </c>
      <c r="C76" t="s">
        <v>61</v>
      </c>
      <c r="D76" t="s">
        <v>30</v>
      </c>
      <c r="E76">
        <v>38</v>
      </c>
      <c r="F76">
        <v>9</v>
      </c>
      <c r="G76">
        <v>85298</v>
      </c>
      <c r="H76">
        <v>2</v>
      </c>
      <c r="I76">
        <v>55</v>
      </c>
      <c r="J76">
        <v>6</v>
      </c>
      <c r="K76">
        <v>2</v>
      </c>
      <c r="L76">
        <v>5</v>
      </c>
      <c r="M76" t="s">
        <v>33</v>
      </c>
    </row>
    <row r="77" spans="1:13" x14ac:dyDescent="0.3">
      <c r="A77" t="s">
        <v>117</v>
      </c>
      <c r="B77" t="s">
        <v>35</v>
      </c>
      <c r="C77" t="s">
        <v>36</v>
      </c>
      <c r="D77" t="s">
        <v>16</v>
      </c>
      <c r="E77">
        <v>34</v>
      </c>
      <c r="F77">
        <v>0</v>
      </c>
      <c r="G77">
        <v>34616</v>
      </c>
      <c r="H77">
        <v>3</v>
      </c>
      <c r="I77">
        <v>57</v>
      </c>
      <c r="J77">
        <v>5</v>
      </c>
      <c r="K77">
        <v>2</v>
      </c>
      <c r="L77">
        <v>5</v>
      </c>
      <c r="M77" t="s">
        <v>33</v>
      </c>
    </row>
    <row r="78" spans="1:13" x14ac:dyDescent="0.3">
      <c r="A78" t="s">
        <v>118</v>
      </c>
      <c r="B78" t="s">
        <v>19</v>
      </c>
      <c r="C78" t="s">
        <v>20</v>
      </c>
      <c r="D78" t="s">
        <v>16</v>
      </c>
      <c r="E78">
        <v>48</v>
      </c>
      <c r="F78">
        <v>15</v>
      </c>
      <c r="G78">
        <v>34085</v>
      </c>
      <c r="H78">
        <v>3</v>
      </c>
      <c r="I78">
        <v>27</v>
      </c>
      <c r="J78">
        <v>12</v>
      </c>
      <c r="K78">
        <v>3</v>
      </c>
      <c r="L78">
        <v>4</v>
      </c>
      <c r="M78" t="s">
        <v>17</v>
      </c>
    </row>
    <row r="79" spans="1:13" x14ac:dyDescent="0.3">
      <c r="A79" t="s">
        <v>119</v>
      </c>
      <c r="B79" t="s">
        <v>24</v>
      </c>
      <c r="C79" t="s">
        <v>52</v>
      </c>
      <c r="D79" t="s">
        <v>30</v>
      </c>
      <c r="E79">
        <v>44</v>
      </c>
      <c r="F79">
        <v>5</v>
      </c>
      <c r="G79">
        <v>89699</v>
      </c>
      <c r="H79">
        <v>3</v>
      </c>
      <c r="I79">
        <v>42</v>
      </c>
      <c r="J79">
        <v>12</v>
      </c>
      <c r="K79">
        <v>4</v>
      </c>
      <c r="L79">
        <v>3</v>
      </c>
      <c r="M79" t="s">
        <v>17</v>
      </c>
    </row>
    <row r="80" spans="1:13" x14ac:dyDescent="0.3">
      <c r="A80" t="s">
        <v>120</v>
      </c>
      <c r="B80" t="s">
        <v>43</v>
      </c>
      <c r="C80" t="s">
        <v>72</v>
      </c>
      <c r="D80" t="s">
        <v>16</v>
      </c>
      <c r="E80">
        <v>26</v>
      </c>
      <c r="F80">
        <v>5</v>
      </c>
      <c r="G80">
        <v>45853</v>
      </c>
      <c r="H80">
        <v>5</v>
      </c>
      <c r="I80">
        <v>44</v>
      </c>
      <c r="J80">
        <v>12</v>
      </c>
      <c r="K80">
        <v>1</v>
      </c>
      <c r="L80">
        <v>2</v>
      </c>
      <c r="M80" t="s">
        <v>17</v>
      </c>
    </row>
    <row r="81" spans="1:13" x14ac:dyDescent="0.3">
      <c r="A81" t="s">
        <v>121</v>
      </c>
      <c r="B81" t="s">
        <v>28</v>
      </c>
      <c r="C81" t="s">
        <v>61</v>
      </c>
      <c r="D81" t="s">
        <v>30</v>
      </c>
      <c r="E81">
        <v>23</v>
      </c>
      <c r="F81">
        <v>1</v>
      </c>
      <c r="G81">
        <v>60363</v>
      </c>
      <c r="H81">
        <v>3</v>
      </c>
      <c r="I81">
        <v>43</v>
      </c>
      <c r="J81">
        <v>8</v>
      </c>
      <c r="K81">
        <v>2</v>
      </c>
      <c r="L81">
        <v>4</v>
      </c>
      <c r="M81" t="s">
        <v>17</v>
      </c>
    </row>
    <row r="82" spans="1:13" x14ac:dyDescent="0.3">
      <c r="A82" t="s">
        <v>122</v>
      </c>
      <c r="B82" t="s">
        <v>14</v>
      </c>
      <c r="C82" t="s">
        <v>38</v>
      </c>
      <c r="D82" t="s">
        <v>30</v>
      </c>
      <c r="E82">
        <v>35</v>
      </c>
      <c r="F82">
        <v>10</v>
      </c>
      <c r="G82">
        <v>64088</v>
      </c>
      <c r="H82">
        <v>3</v>
      </c>
      <c r="I82">
        <v>52</v>
      </c>
      <c r="J82">
        <v>5</v>
      </c>
      <c r="K82">
        <v>4</v>
      </c>
      <c r="L82">
        <v>2</v>
      </c>
      <c r="M82" t="s">
        <v>17</v>
      </c>
    </row>
    <row r="83" spans="1:13" x14ac:dyDescent="0.3">
      <c r="A83" t="s">
        <v>123</v>
      </c>
      <c r="B83" t="s">
        <v>43</v>
      </c>
      <c r="C83" t="s">
        <v>59</v>
      </c>
      <c r="D83" t="s">
        <v>30</v>
      </c>
      <c r="E83">
        <v>39</v>
      </c>
      <c r="F83">
        <v>5</v>
      </c>
      <c r="G83">
        <v>76652</v>
      </c>
      <c r="H83">
        <v>2</v>
      </c>
      <c r="I83">
        <v>16</v>
      </c>
      <c r="J83">
        <v>6</v>
      </c>
      <c r="K83">
        <v>2</v>
      </c>
      <c r="L83">
        <v>5</v>
      </c>
      <c r="M83" t="s">
        <v>17</v>
      </c>
    </row>
    <row r="84" spans="1:13" x14ac:dyDescent="0.3">
      <c r="A84" t="s">
        <v>124</v>
      </c>
      <c r="B84" t="s">
        <v>28</v>
      </c>
      <c r="C84" t="s">
        <v>29</v>
      </c>
      <c r="D84" t="s">
        <v>16</v>
      </c>
      <c r="E84">
        <v>22</v>
      </c>
      <c r="F84">
        <v>1</v>
      </c>
      <c r="G84">
        <v>84589</v>
      </c>
      <c r="H84">
        <v>2</v>
      </c>
      <c r="I84">
        <v>41</v>
      </c>
      <c r="J84">
        <v>10</v>
      </c>
      <c r="K84">
        <v>1</v>
      </c>
      <c r="L84">
        <v>5</v>
      </c>
      <c r="M84" t="s">
        <v>17</v>
      </c>
    </row>
    <row r="85" spans="1:13" x14ac:dyDescent="0.3">
      <c r="A85" t="s">
        <v>125</v>
      </c>
      <c r="B85" t="s">
        <v>24</v>
      </c>
      <c r="C85" t="s">
        <v>25</v>
      </c>
      <c r="D85" t="s">
        <v>16</v>
      </c>
      <c r="E85">
        <v>50</v>
      </c>
      <c r="F85">
        <v>12</v>
      </c>
      <c r="G85">
        <v>62897</v>
      </c>
      <c r="H85">
        <v>3</v>
      </c>
      <c r="I85">
        <v>49</v>
      </c>
      <c r="J85">
        <v>5</v>
      </c>
      <c r="K85">
        <v>2</v>
      </c>
      <c r="L85">
        <v>3</v>
      </c>
      <c r="M85" t="s">
        <v>33</v>
      </c>
    </row>
    <row r="86" spans="1:13" x14ac:dyDescent="0.3">
      <c r="A86" t="s">
        <v>126</v>
      </c>
      <c r="B86" t="s">
        <v>35</v>
      </c>
      <c r="C86" t="s">
        <v>41</v>
      </c>
      <c r="D86" t="s">
        <v>16</v>
      </c>
      <c r="E86">
        <v>33</v>
      </c>
      <c r="F86">
        <v>5</v>
      </c>
      <c r="G86">
        <v>34718</v>
      </c>
      <c r="H86">
        <v>2</v>
      </c>
      <c r="I86">
        <v>29</v>
      </c>
      <c r="J86">
        <v>3</v>
      </c>
      <c r="K86">
        <v>3</v>
      </c>
      <c r="L86">
        <v>4</v>
      </c>
      <c r="M86" t="s">
        <v>17</v>
      </c>
    </row>
    <row r="87" spans="1:13" x14ac:dyDescent="0.3">
      <c r="A87" t="s">
        <v>127</v>
      </c>
      <c r="B87" t="s">
        <v>19</v>
      </c>
      <c r="C87" t="s">
        <v>32</v>
      </c>
      <c r="D87" t="s">
        <v>30</v>
      </c>
      <c r="E87">
        <v>41</v>
      </c>
      <c r="F87">
        <v>10</v>
      </c>
      <c r="G87">
        <v>65370</v>
      </c>
      <c r="H87">
        <v>1</v>
      </c>
      <c r="I87">
        <v>32</v>
      </c>
      <c r="J87">
        <v>1</v>
      </c>
      <c r="K87">
        <v>3</v>
      </c>
      <c r="L87">
        <v>1</v>
      </c>
      <c r="M87" t="s">
        <v>17</v>
      </c>
    </row>
    <row r="88" spans="1:13" x14ac:dyDescent="0.3">
      <c r="A88" t="s">
        <v>128</v>
      </c>
      <c r="B88" t="s">
        <v>14</v>
      </c>
      <c r="C88" t="s">
        <v>38</v>
      </c>
      <c r="D88" t="s">
        <v>16</v>
      </c>
      <c r="E88">
        <v>34</v>
      </c>
      <c r="F88">
        <v>8</v>
      </c>
      <c r="G88">
        <v>61990</v>
      </c>
      <c r="H88">
        <v>3</v>
      </c>
      <c r="I88">
        <v>32</v>
      </c>
      <c r="J88">
        <v>4</v>
      </c>
      <c r="K88">
        <v>3</v>
      </c>
      <c r="L88">
        <v>2</v>
      </c>
      <c r="M88" t="s">
        <v>33</v>
      </c>
    </row>
    <row r="89" spans="1:13" x14ac:dyDescent="0.3">
      <c r="A89" t="s">
        <v>129</v>
      </c>
      <c r="B89" t="s">
        <v>19</v>
      </c>
      <c r="C89" t="s">
        <v>22</v>
      </c>
      <c r="D89" t="s">
        <v>30</v>
      </c>
      <c r="E89">
        <v>43</v>
      </c>
      <c r="F89">
        <v>15</v>
      </c>
      <c r="G89">
        <v>67508</v>
      </c>
      <c r="H89">
        <v>2</v>
      </c>
      <c r="I89">
        <v>7</v>
      </c>
      <c r="J89">
        <v>1</v>
      </c>
      <c r="K89">
        <v>2</v>
      </c>
      <c r="L89">
        <v>3</v>
      </c>
      <c r="M89" t="s">
        <v>17</v>
      </c>
    </row>
    <row r="90" spans="1:13" x14ac:dyDescent="0.3">
      <c r="A90" t="s">
        <v>130</v>
      </c>
      <c r="B90" t="s">
        <v>43</v>
      </c>
      <c r="C90" t="s">
        <v>59</v>
      </c>
      <c r="D90" t="s">
        <v>16</v>
      </c>
      <c r="E90">
        <v>22</v>
      </c>
      <c r="F90">
        <v>14</v>
      </c>
      <c r="G90">
        <v>81370</v>
      </c>
      <c r="H90">
        <v>1</v>
      </c>
      <c r="I90">
        <v>27</v>
      </c>
      <c r="J90">
        <v>11</v>
      </c>
      <c r="K90">
        <v>1</v>
      </c>
      <c r="L90">
        <v>2</v>
      </c>
      <c r="M90" t="s">
        <v>33</v>
      </c>
    </row>
    <row r="91" spans="1:13" x14ac:dyDescent="0.3">
      <c r="A91" t="s">
        <v>131</v>
      </c>
      <c r="B91" t="s">
        <v>35</v>
      </c>
      <c r="C91" t="s">
        <v>88</v>
      </c>
      <c r="D91" t="s">
        <v>30</v>
      </c>
      <c r="E91">
        <v>34</v>
      </c>
      <c r="F91">
        <v>2</v>
      </c>
      <c r="G91">
        <v>55747</v>
      </c>
      <c r="H91">
        <v>4</v>
      </c>
      <c r="I91">
        <v>35</v>
      </c>
      <c r="J91">
        <v>12</v>
      </c>
      <c r="K91">
        <v>5</v>
      </c>
      <c r="L91">
        <v>2</v>
      </c>
      <c r="M91" t="s">
        <v>17</v>
      </c>
    </row>
    <row r="92" spans="1:13" x14ac:dyDescent="0.3">
      <c r="A92" t="s">
        <v>132</v>
      </c>
      <c r="B92" t="s">
        <v>28</v>
      </c>
      <c r="C92" t="s">
        <v>46</v>
      </c>
      <c r="D92" t="s">
        <v>16</v>
      </c>
      <c r="E92">
        <v>34</v>
      </c>
      <c r="F92">
        <v>9</v>
      </c>
      <c r="G92">
        <v>72493</v>
      </c>
      <c r="H92">
        <v>4</v>
      </c>
      <c r="I92">
        <v>49</v>
      </c>
      <c r="J92">
        <v>1</v>
      </c>
      <c r="K92">
        <v>4</v>
      </c>
      <c r="L92">
        <v>5</v>
      </c>
      <c r="M92" t="s">
        <v>17</v>
      </c>
    </row>
    <row r="93" spans="1:13" x14ac:dyDescent="0.3">
      <c r="A93" t="s">
        <v>133</v>
      </c>
      <c r="B93" t="s">
        <v>35</v>
      </c>
      <c r="C93" t="s">
        <v>83</v>
      </c>
      <c r="D93" t="s">
        <v>16</v>
      </c>
      <c r="E93">
        <v>25</v>
      </c>
      <c r="F93">
        <v>14</v>
      </c>
      <c r="G93">
        <v>32002</v>
      </c>
      <c r="H93">
        <v>2</v>
      </c>
      <c r="I93">
        <v>50</v>
      </c>
      <c r="J93">
        <v>4</v>
      </c>
      <c r="K93">
        <v>2</v>
      </c>
      <c r="L93">
        <v>1</v>
      </c>
      <c r="M93" t="s">
        <v>17</v>
      </c>
    </row>
    <row r="94" spans="1:13" x14ac:dyDescent="0.3">
      <c r="A94" t="s">
        <v>134</v>
      </c>
      <c r="B94" t="s">
        <v>24</v>
      </c>
      <c r="C94" t="s">
        <v>25</v>
      </c>
      <c r="D94" t="s">
        <v>30</v>
      </c>
      <c r="E94">
        <v>33</v>
      </c>
      <c r="F94">
        <v>3</v>
      </c>
      <c r="G94">
        <v>49600</v>
      </c>
      <c r="H94">
        <v>5</v>
      </c>
      <c r="I94">
        <v>45</v>
      </c>
      <c r="J94">
        <v>6</v>
      </c>
      <c r="K94">
        <v>1</v>
      </c>
      <c r="L94">
        <v>4</v>
      </c>
      <c r="M94" t="s">
        <v>33</v>
      </c>
    </row>
    <row r="95" spans="1:13" x14ac:dyDescent="0.3">
      <c r="A95" t="s">
        <v>135</v>
      </c>
      <c r="B95" t="s">
        <v>14</v>
      </c>
      <c r="C95" t="s">
        <v>49</v>
      </c>
      <c r="D95" t="s">
        <v>16</v>
      </c>
      <c r="E95">
        <v>43</v>
      </c>
      <c r="F95">
        <v>11</v>
      </c>
      <c r="G95">
        <v>81080</v>
      </c>
      <c r="H95">
        <v>1</v>
      </c>
      <c r="I95">
        <v>55</v>
      </c>
      <c r="J95">
        <v>1</v>
      </c>
      <c r="K95">
        <v>1</v>
      </c>
      <c r="L95">
        <v>1</v>
      </c>
      <c r="M95" t="s">
        <v>17</v>
      </c>
    </row>
    <row r="96" spans="1:13" x14ac:dyDescent="0.3">
      <c r="A96" t="s">
        <v>136</v>
      </c>
      <c r="B96" t="s">
        <v>24</v>
      </c>
      <c r="C96" t="s">
        <v>52</v>
      </c>
      <c r="D96" t="s">
        <v>16</v>
      </c>
      <c r="E96">
        <v>48</v>
      </c>
      <c r="F96">
        <v>3</v>
      </c>
      <c r="G96">
        <v>88452</v>
      </c>
      <c r="H96">
        <v>2</v>
      </c>
      <c r="I96">
        <v>34</v>
      </c>
      <c r="J96">
        <v>2</v>
      </c>
      <c r="K96">
        <v>2</v>
      </c>
      <c r="L96">
        <v>4</v>
      </c>
      <c r="M96" t="s">
        <v>17</v>
      </c>
    </row>
    <row r="97" spans="1:13" x14ac:dyDescent="0.3">
      <c r="A97" t="s">
        <v>137</v>
      </c>
      <c r="B97" t="s">
        <v>19</v>
      </c>
      <c r="C97" t="s">
        <v>22</v>
      </c>
      <c r="D97" t="s">
        <v>30</v>
      </c>
      <c r="E97">
        <v>22</v>
      </c>
      <c r="F97">
        <v>5</v>
      </c>
      <c r="G97">
        <v>70355</v>
      </c>
      <c r="H97">
        <v>1</v>
      </c>
      <c r="I97">
        <v>24</v>
      </c>
      <c r="J97">
        <v>4</v>
      </c>
      <c r="K97">
        <v>1</v>
      </c>
      <c r="L97">
        <v>2</v>
      </c>
      <c r="M97" t="s">
        <v>33</v>
      </c>
    </row>
    <row r="98" spans="1:13" x14ac:dyDescent="0.3">
      <c r="A98" t="s">
        <v>138</v>
      </c>
      <c r="B98" t="s">
        <v>24</v>
      </c>
      <c r="C98" t="s">
        <v>52</v>
      </c>
      <c r="D98" t="s">
        <v>30</v>
      </c>
      <c r="E98">
        <v>22</v>
      </c>
      <c r="F98">
        <v>5</v>
      </c>
      <c r="G98">
        <v>62498</v>
      </c>
      <c r="H98">
        <v>4</v>
      </c>
      <c r="I98">
        <v>19</v>
      </c>
      <c r="J98">
        <v>7</v>
      </c>
      <c r="K98">
        <v>5</v>
      </c>
      <c r="L98">
        <v>3</v>
      </c>
      <c r="M98" t="s">
        <v>17</v>
      </c>
    </row>
    <row r="99" spans="1:13" x14ac:dyDescent="0.3">
      <c r="A99" t="s">
        <v>139</v>
      </c>
      <c r="B99" t="s">
        <v>35</v>
      </c>
      <c r="C99" t="s">
        <v>88</v>
      </c>
      <c r="D99" t="s">
        <v>16</v>
      </c>
      <c r="E99">
        <v>48</v>
      </c>
      <c r="F99">
        <v>7</v>
      </c>
      <c r="G99">
        <v>75950</v>
      </c>
      <c r="H99">
        <v>4</v>
      </c>
      <c r="I99">
        <v>9</v>
      </c>
      <c r="J99">
        <v>11</v>
      </c>
      <c r="K99">
        <v>2</v>
      </c>
      <c r="L99">
        <v>5</v>
      </c>
      <c r="M99" t="s">
        <v>17</v>
      </c>
    </row>
    <row r="100" spans="1:13" x14ac:dyDescent="0.3">
      <c r="A100" t="s">
        <v>140</v>
      </c>
      <c r="B100" t="s">
        <v>35</v>
      </c>
      <c r="C100" t="s">
        <v>83</v>
      </c>
      <c r="D100" t="s">
        <v>16</v>
      </c>
      <c r="E100">
        <v>37</v>
      </c>
      <c r="F100">
        <v>0</v>
      </c>
      <c r="G100">
        <v>69368</v>
      </c>
      <c r="H100">
        <v>4</v>
      </c>
      <c r="I100">
        <v>25</v>
      </c>
      <c r="J100">
        <v>7</v>
      </c>
      <c r="K100">
        <v>5</v>
      </c>
      <c r="L100">
        <v>4</v>
      </c>
      <c r="M100" t="s">
        <v>17</v>
      </c>
    </row>
    <row r="101" spans="1:13" x14ac:dyDescent="0.3">
      <c r="A101" t="s">
        <v>141</v>
      </c>
      <c r="B101" t="s">
        <v>28</v>
      </c>
      <c r="C101" t="s">
        <v>29</v>
      </c>
      <c r="D101" t="s">
        <v>16</v>
      </c>
      <c r="E101">
        <v>31</v>
      </c>
      <c r="F101">
        <v>2</v>
      </c>
      <c r="G101">
        <v>89168</v>
      </c>
      <c r="H101">
        <v>3</v>
      </c>
      <c r="I101">
        <v>17</v>
      </c>
      <c r="J101">
        <v>11</v>
      </c>
      <c r="K101">
        <v>1</v>
      </c>
      <c r="L101">
        <v>3</v>
      </c>
      <c r="M101" t="s">
        <v>17</v>
      </c>
    </row>
    <row r="102" spans="1:13" x14ac:dyDescent="0.3">
      <c r="A102" t="s">
        <v>142</v>
      </c>
      <c r="B102" t="s">
        <v>43</v>
      </c>
      <c r="C102" t="s">
        <v>59</v>
      </c>
      <c r="D102" t="s">
        <v>30</v>
      </c>
      <c r="E102">
        <v>32</v>
      </c>
      <c r="F102">
        <v>8</v>
      </c>
      <c r="G102">
        <v>73033</v>
      </c>
      <c r="H102">
        <v>2</v>
      </c>
      <c r="I102">
        <v>12</v>
      </c>
      <c r="J102">
        <v>8</v>
      </c>
      <c r="K102">
        <v>2</v>
      </c>
      <c r="L102">
        <v>2</v>
      </c>
      <c r="M102" t="s">
        <v>33</v>
      </c>
    </row>
    <row r="103" spans="1:13" x14ac:dyDescent="0.3">
      <c r="A103" t="s">
        <v>143</v>
      </c>
      <c r="B103" t="s">
        <v>14</v>
      </c>
      <c r="C103" t="s">
        <v>38</v>
      </c>
      <c r="D103" t="s">
        <v>30</v>
      </c>
      <c r="E103">
        <v>35</v>
      </c>
      <c r="F103">
        <v>10</v>
      </c>
      <c r="G103">
        <v>77138</v>
      </c>
      <c r="H103">
        <v>3</v>
      </c>
      <c r="I103">
        <v>10</v>
      </c>
      <c r="J103">
        <v>2</v>
      </c>
      <c r="K103">
        <v>3</v>
      </c>
      <c r="L103">
        <v>5</v>
      </c>
      <c r="M103" t="s">
        <v>17</v>
      </c>
    </row>
    <row r="104" spans="1:13" x14ac:dyDescent="0.3">
      <c r="A104" t="s">
        <v>144</v>
      </c>
      <c r="B104" t="s">
        <v>28</v>
      </c>
      <c r="C104" t="s">
        <v>29</v>
      </c>
      <c r="D104" t="s">
        <v>16</v>
      </c>
      <c r="E104">
        <v>33</v>
      </c>
      <c r="F104">
        <v>12</v>
      </c>
      <c r="G104">
        <v>42693</v>
      </c>
      <c r="H104">
        <v>5</v>
      </c>
      <c r="I104">
        <v>39</v>
      </c>
      <c r="J104">
        <v>2</v>
      </c>
      <c r="K104">
        <v>3</v>
      </c>
      <c r="L104">
        <v>2</v>
      </c>
      <c r="M104" t="s">
        <v>17</v>
      </c>
    </row>
    <row r="105" spans="1:13" x14ac:dyDescent="0.3">
      <c r="A105" t="s">
        <v>145</v>
      </c>
      <c r="B105" t="s">
        <v>19</v>
      </c>
      <c r="C105" t="s">
        <v>32</v>
      </c>
      <c r="D105" t="s">
        <v>16</v>
      </c>
      <c r="E105">
        <v>43</v>
      </c>
      <c r="F105">
        <v>2</v>
      </c>
      <c r="G105">
        <v>88273</v>
      </c>
      <c r="H105">
        <v>4</v>
      </c>
      <c r="I105">
        <v>25</v>
      </c>
      <c r="J105">
        <v>9</v>
      </c>
      <c r="K105">
        <v>4</v>
      </c>
      <c r="L105">
        <v>5</v>
      </c>
      <c r="M105" t="s">
        <v>17</v>
      </c>
    </row>
    <row r="106" spans="1:13" x14ac:dyDescent="0.3">
      <c r="A106" t="s">
        <v>146</v>
      </c>
      <c r="B106" t="s">
        <v>24</v>
      </c>
      <c r="C106" t="s">
        <v>52</v>
      </c>
      <c r="D106" t="s">
        <v>16</v>
      </c>
      <c r="E106">
        <v>34</v>
      </c>
      <c r="F106">
        <v>5</v>
      </c>
      <c r="G106">
        <v>58057</v>
      </c>
      <c r="H106">
        <v>2</v>
      </c>
      <c r="I106">
        <v>5</v>
      </c>
      <c r="J106">
        <v>8</v>
      </c>
      <c r="K106">
        <v>1</v>
      </c>
      <c r="L106">
        <v>2</v>
      </c>
      <c r="M106" t="s">
        <v>17</v>
      </c>
    </row>
    <row r="107" spans="1:13" x14ac:dyDescent="0.3">
      <c r="A107" t="s">
        <v>147</v>
      </c>
      <c r="B107" t="s">
        <v>28</v>
      </c>
      <c r="C107" t="s">
        <v>61</v>
      </c>
      <c r="D107" t="s">
        <v>30</v>
      </c>
      <c r="E107">
        <v>42</v>
      </c>
      <c r="F107">
        <v>11</v>
      </c>
      <c r="G107">
        <v>40093</v>
      </c>
      <c r="H107">
        <v>5</v>
      </c>
      <c r="I107">
        <v>37</v>
      </c>
      <c r="J107">
        <v>3</v>
      </c>
      <c r="K107">
        <v>2</v>
      </c>
      <c r="L107">
        <v>5</v>
      </c>
      <c r="M107" t="s">
        <v>17</v>
      </c>
    </row>
    <row r="108" spans="1:13" x14ac:dyDescent="0.3">
      <c r="A108" t="s">
        <v>148</v>
      </c>
      <c r="B108" t="s">
        <v>19</v>
      </c>
      <c r="C108" t="s">
        <v>22</v>
      </c>
      <c r="D108" t="s">
        <v>16</v>
      </c>
      <c r="E108">
        <v>49</v>
      </c>
      <c r="F108">
        <v>3</v>
      </c>
      <c r="G108">
        <v>51329</v>
      </c>
      <c r="H108">
        <v>5</v>
      </c>
      <c r="I108">
        <v>50</v>
      </c>
      <c r="J108">
        <v>6</v>
      </c>
      <c r="K108">
        <v>4</v>
      </c>
      <c r="L108">
        <v>2</v>
      </c>
      <c r="M108" t="s">
        <v>33</v>
      </c>
    </row>
    <row r="109" spans="1:13" x14ac:dyDescent="0.3">
      <c r="A109" t="s">
        <v>149</v>
      </c>
      <c r="B109" t="s">
        <v>28</v>
      </c>
      <c r="C109" t="s">
        <v>29</v>
      </c>
      <c r="D109" t="s">
        <v>16</v>
      </c>
      <c r="E109">
        <v>47</v>
      </c>
      <c r="F109">
        <v>12</v>
      </c>
      <c r="G109">
        <v>73993</v>
      </c>
      <c r="H109">
        <v>1</v>
      </c>
      <c r="I109">
        <v>58</v>
      </c>
      <c r="J109">
        <v>12</v>
      </c>
      <c r="K109">
        <v>2</v>
      </c>
      <c r="L109">
        <v>2</v>
      </c>
      <c r="M109" t="s">
        <v>17</v>
      </c>
    </row>
    <row r="110" spans="1:13" x14ac:dyDescent="0.3">
      <c r="A110" t="s">
        <v>150</v>
      </c>
      <c r="B110" t="s">
        <v>35</v>
      </c>
      <c r="C110" t="s">
        <v>36</v>
      </c>
      <c r="D110" t="s">
        <v>30</v>
      </c>
      <c r="E110">
        <v>43</v>
      </c>
      <c r="F110">
        <v>5</v>
      </c>
      <c r="G110">
        <v>35463</v>
      </c>
      <c r="H110">
        <v>1</v>
      </c>
      <c r="I110">
        <v>22</v>
      </c>
      <c r="J110">
        <v>2</v>
      </c>
      <c r="K110">
        <v>5</v>
      </c>
      <c r="L110">
        <v>2</v>
      </c>
      <c r="M110" t="s">
        <v>17</v>
      </c>
    </row>
    <row r="111" spans="1:13" x14ac:dyDescent="0.3">
      <c r="A111" t="s">
        <v>151</v>
      </c>
      <c r="B111" t="s">
        <v>35</v>
      </c>
      <c r="C111" t="s">
        <v>41</v>
      </c>
      <c r="D111" t="s">
        <v>30</v>
      </c>
      <c r="E111">
        <v>38</v>
      </c>
      <c r="F111">
        <v>15</v>
      </c>
      <c r="G111">
        <v>70706</v>
      </c>
      <c r="H111">
        <v>4</v>
      </c>
      <c r="I111">
        <v>10</v>
      </c>
      <c r="J111">
        <v>8</v>
      </c>
      <c r="K111">
        <v>2</v>
      </c>
      <c r="L111">
        <v>5</v>
      </c>
      <c r="M111" t="s">
        <v>17</v>
      </c>
    </row>
    <row r="112" spans="1:13" x14ac:dyDescent="0.3">
      <c r="A112" t="s">
        <v>152</v>
      </c>
      <c r="B112" t="s">
        <v>24</v>
      </c>
      <c r="C112" t="s">
        <v>52</v>
      </c>
      <c r="D112" t="s">
        <v>16</v>
      </c>
      <c r="E112">
        <v>26</v>
      </c>
      <c r="F112">
        <v>2</v>
      </c>
      <c r="G112">
        <v>58930</v>
      </c>
      <c r="H112">
        <v>1</v>
      </c>
      <c r="I112">
        <v>16</v>
      </c>
      <c r="J112">
        <v>2</v>
      </c>
      <c r="K112">
        <v>1</v>
      </c>
      <c r="L112">
        <v>1</v>
      </c>
      <c r="M112" t="s">
        <v>17</v>
      </c>
    </row>
    <row r="113" spans="1:13" x14ac:dyDescent="0.3">
      <c r="A113" t="s">
        <v>153</v>
      </c>
      <c r="B113" t="s">
        <v>43</v>
      </c>
      <c r="C113" t="s">
        <v>72</v>
      </c>
      <c r="D113" t="s">
        <v>16</v>
      </c>
      <c r="E113">
        <v>42</v>
      </c>
      <c r="F113">
        <v>6</v>
      </c>
      <c r="G113">
        <v>33505</v>
      </c>
      <c r="H113">
        <v>1</v>
      </c>
      <c r="I113">
        <v>58</v>
      </c>
      <c r="J113">
        <v>7</v>
      </c>
      <c r="K113">
        <v>1</v>
      </c>
      <c r="L113">
        <v>3</v>
      </c>
      <c r="M113" t="s">
        <v>17</v>
      </c>
    </row>
    <row r="114" spans="1:13" x14ac:dyDescent="0.3">
      <c r="A114" t="s">
        <v>154</v>
      </c>
      <c r="B114" t="s">
        <v>14</v>
      </c>
      <c r="C114" t="s">
        <v>38</v>
      </c>
      <c r="D114" t="s">
        <v>30</v>
      </c>
      <c r="E114">
        <v>25</v>
      </c>
      <c r="F114">
        <v>6</v>
      </c>
      <c r="G114">
        <v>30692</v>
      </c>
      <c r="H114">
        <v>1</v>
      </c>
      <c r="I114">
        <v>41</v>
      </c>
      <c r="J114">
        <v>5</v>
      </c>
      <c r="K114">
        <v>5</v>
      </c>
      <c r="L114">
        <v>5</v>
      </c>
      <c r="M114" t="s">
        <v>33</v>
      </c>
    </row>
    <row r="115" spans="1:13" x14ac:dyDescent="0.3">
      <c r="A115" t="s">
        <v>155</v>
      </c>
      <c r="B115" t="s">
        <v>35</v>
      </c>
      <c r="C115" t="s">
        <v>88</v>
      </c>
      <c r="D115" t="s">
        <v>16</v>
      </c>
      <c r="E115">
        <v>34</v>
      </c>
      <c r="F115">
        <v>15</v>
      </c>
      <c r="G115">
        <v>46954</v>
      </c>
      <c r="H115">
        <v>4</v>
      </c>
      <c r="I115">
        <v>9</v>
      </c>
      <c r="J115">
        <v>9</v>
      </c>
      <c r="K115">
        <v>5</v>
      </c>
      <c r="L115">
        <v>4</v>
      </c>
      <c r="M115" t="s">
        <v>17</v>
      </c>
    </row>
    <row r="116" spans="1:13" x14ac:dyDescent="0.3">
      <c r="A116" t="s">
        <v>156</v>
      </c>
      <c r="B116" t="s">
        <v>35</v>
      </c>
      <c r="C116" t="s">
        <v>83</v>
      </c>
      <c r="D116" t="s">
        <v>16</v>
      </c>
      <c r="E116">
        <v>39</v>
      </c>
      <c r="F116">
        <v>11</v>
      </c>
      <c r="G116">
        <v>78735</v>
      </c>
      <c r="H116">
        <v>5</v>
      </c>
      <c r="I116">
        <v>38</v>
      </c>
      <c r="J116">
        <v>8</v>
      </c>
      <c r="K116">
        <v>2</v>
      </c>
      <c r="L116">
        <v>5</v>
      </c>
      <c r="M116" t="s">
        <v>17</v>
      </c>
    </row>
    <row r="117" spans="1:13" x14ac:dyDescent="0.3">
      <c r="A117" t="s">
        <v>157</v>
      </c>
      <c r="B117" t="s">
        <v>28</v>
      </c>
      <c r="C117" t="s">
        <v>61</v>
      </c>
      <c r="D117" t="s">
        <v>30</v>
      </c>
      <c r="E117">
        <v>45</v>
      </c>
      <c r="F117">
        <v>0</v>
      </c>
      <c r="G117">
        <v>31623</v>
      </c>
      <c r="H117">
        <v>5</v>
      </c>
      <c r="I117">
        <v>52</v>
      </c>
      <c r="J117">
        <v>8</v>
      </c>
      <c r="K117">
        <v>3</v>
      </c>
      <c r="L117">
        <v>1</v>
      </c>
      <c r="M117" t="s">
        <v>17</v>
      </c>
    </row>
    <row r="118" spans="1:13" x14ac:dyDescent="0.3">
      <c r="A118" t="s">
        <v>158</v>
      </c>
      <c r="B118" t="s">
        <v>28</v>
      </c>
      <c r="C118" t="s">
        <v>29</v>
      </c>
      <c r="D118" t="s">
        <v>30</v>
      </c>
      <c r="E118">
        <v>24</v>
      </c>
      <c r="F118">
        <v>5</v>
      </c>
      <c r="G118">
        <v>77511</v>
      </c>
      <c r="H118">
        <v>3</v>
      </c>
      <c r="I118">
        <v>22</v>
      </c>
      <c r="J118">
        <v>2</v>
      </c>
      <c r="K118">
        <v>4</v>
      </c>
      <c r="L118">
        <v>4</v>
      </c>
      <c r="M118" t="s">
        <v>33</v>
      </c>
    </row>
    <row r="119" spans="1:13" x14ac:dyDescent="0.3">
      <c r="A119" t="s">
        <v>159</v>
      </c>
      <c r="B119" t="s">
        <v>24</v>
      </c>
      <c r="C119" t="s">
        <v>52</v>
      </c>
      <c r="D119" t="s">
        <v>30</v>
      </c>
      <c r="E119">
        <v>24</v>
      </c>
      <c r="F119">
        <v>12</v>
      </c>
      <c r="G119">
        <v>65618</v>
      </c>
      <c r="H119">
        <v>3</v>
      </c>
      <c r="I119">
        <v>49</v>
      </c>
      <c r="J119">
        <v>6</v>
      </c>
      <c r="K119">
        <v>2</v>
      </c>
      <c r="L119">
        <v>3</v>
      </c>
      <c r="M119" t="s">
        <v>17</v>
      </c>
    </row>
    <row r="120" spans="1:13" x14ac:dyDescent="0.3">
      <c r="A120" t="s">
        <v>160</v>
      </c>
      <c r="B120" t="s">
        <v>19</v>
      </c>
      <c r="C120" t="s">
        <v>20</v>
      </c>
      <c r="D120" t="s">
        <v>30</v>
      </c>
      <c r="E120">
        <v>38</v>
      </c>
      <c r="F120">
        <v>6</v>
      </c>
      <c r="G120">
        <v>44478</v>
      </c>
      <c r="H120">
        <v>1</v>
      </c>
      <c r="I120">
        <v>38</v>
      </c>
      <c r="J120">
        <v>8</v>
      </c>
      <c r="K120">
        <v>1</v>
      </c>
      <c r="L120">
        <v>2</v>
      </c>
      <c r="M120" t="s">
        <v>17</v>
      </c>
    </row>
    <row r="121" spans="1:13" x14ac:dyDescent="0.3">
      <c r="A121" t="s">
        <v>161</v>
      </c>
      <c r="B121" t="s">
        <v>24</v>
      </c>
      <c r="C121" t="s">
        <v>52</v>
      </c>
      <c r="D121" t="s">
        <v>30</v>
      </c>
      <c r="E121">
        <v>48</v>
      </c>
      <c r="F121">
        <v>4</v>
      </c>
      <c r="G121">
        <v>78037</v>
      </c>
      <c r="H121">
        <v>2</v>
      </c>
      <c r="I121">
        <v>49</v>
      </c>
      <c r="J121">
        <v>8</v>
      </c>
      <c r="K121">
        <v>5</v>
      </c>
      <c r="L121">
        <v>1</v>
      </c>
      <c r="M121" t="s">
        <v>17</v>
      </c>
    </row>
    <row r="122" spans="1:13" x14ac:dyDescent="0.3">
      <c r="A122" t="s">
        <v>162</v>
      </c>
      <c r="B122" t="s">
        <v>35</v>
      </c>
      <c r="C122" t="s">
        <v>36</v>
      </c>
      <c r="D122" t="s">
        <v>30</v>
      </c>
      <c r="E122">
        <v>25</v>
      </c>
      <c r="F122">
        <v>2</v>
      </c>
      <c r="G122">
        <v>86015</v>
      </c>
      <c r="H122">
        <v>2</v>
      </c>
      <c r="I122">
        <v>51</v>
      </c>
      <c r="J122">
        <v>7</v>
      </c>
      <c r="K122">
        <v>2</v>
      </c>
      <c r="L122">
        <v>1</v>
      </c>
      <c r="M122" t="s">
        <v>33</v>
      </c>
    </row>
    <row r="123" spans="1:13" x14ac:dyDescent="0.3">
      <c r="A123" t="s">
        <v>163</v>
      </c>
      <c r="B123" t="s">
        <v>24</v>
      </c>
      <c r="C123" t="s">
        <v>25</v>
      </c>
      <c r="D123" t="s">
        <v>30</v>
      </c>
      <c r="E123">
        <v>22</v>
      </c>
      <c r="F123">
        <v>9</v>
      </c>
      <c r="G123">
        <v>50928</v>
      </c>
      <c r="H123">
        <v>4</v>
      </c>
      <c r="I123">
        <v>17</v>
      </c>
      <c r="J123">
        <v>5</v>
      </c>
      <c r="K123">
        <v>2</v>
      </c>
      <c r="L123">
        <v>4</v>
      </c>
      <c r="M123" t="s">
        <v>17</v>
      </c>
    </row>
    <row r="124" spans="1:13" x14ac:dyDescent="0.3">
      <c r="A124" t="s">
        <v>164</v>
      </c>
      <c r="B124" t="s">
        <v>28</v>
      </c>
      <c r="C124" t="s">
        <v>29</v>
      </c>
      <c r="D124" t="s">
        <v>30</v>
      </c>
      <c r="E124">
        <v>23</v>
      </c>
      <c r="F124">
        <v>1</v>
      </c>
      <c r="G124">
        <v>35332</v>
      </c>
      <c r="H124">
        <v>4</v>
      </c>
      <c r="I124">
        <v>39</v>
      </c>
      <c r="J124">
        <v>5</v>
      </c>
      <c r="K124">
        <v>2</v>
      </c>
      <c r="L124">
        <v>2</v>
      </c>
      <c r="M124" t="s">
        <v>17</v>
      </c>
    </row>
    <row r="125" spans="1:13" x14ac:dyDescent="0.3">
      <c r="A125" t="s">
        <v>165</v>
      </c>
      <c r="B125" t="s">
        <v>14</v>
      </c>
      <c r="C125" t="s">
        <v>49</v>
      </c>
      <c r="D125" t="s">
        <v>30</v>
      </c>
      <c r="E125">
        <v>25</v>
      </c>
      <c r="F125">
        <v>8</v>
      </c>
      <c r="G125">
        <v>56752</v>
      </c>
      <c r="H125">
        <v>3</v>
      </c>
      <c r="I125">
        <v>51</v>
      </c>
      <c r="J125">
        <v>5</v>
      </c>
      <c r="K125">
        <v>1</v>
      </c>
      <c r="L125">
        <v>5</v>
      </c>
      <c r="M125" t="s">
        <v>17</v>
      </c>
    </row>
    <row r="126" spans="1:13" x14ac:dyDescent="0.3">
      <c r="A126" t="s">
        <v>166</v>
      </c>
      <c r="B126" t="s">
        <v>43</v>
      </c>
      <c r="C126" t="s">
        <v>44</v>
      </c>
      <c r="D126" t="s">
        <v>16</v>
      </c>
      <c r="E126">
        <v>48</v>
      </c>
      <c r="F126">
        <v>6</v>
      </c>
      <c r="G126">
        <v>69149</v>
      </c>
      <c r="H126">
        <v>1</v>
      </c>
      <c r="I126">
        <v>36</v>
      </c>
      <c r="J126">
        <v>7</v>
      </c>
      <c r="K126">
        <v>3</v>
      </c>
      <c r="L126">
        <v>4</v>
      </c>
      <c r="M126" t="s">
        <v>17</v>
      </c>
    </row>
    <row r="127" spans="1:13" x14ac:dyDescent="0.3">
      <c r="A127" t="s">
        <v>167</v>
      </c>
      <c r="B127" t="s">
        <v>35</v>
      </c>
      <c r="C127" t="s">
        <v>36</v>
      </c>
      <c r="D127" t="s">
        <v>16</v>
      </c>
      <c r="E127">
        <v>38</v>
      </c>
      <c r="F127">
        <v>3</v>
      </c>
      <c r="G127">
        <v>37927</v>
      </c>
      <c r="H127">
        <v>4</v>
      </c>
      <c r="I127">
        <v>49</v>
      </c>
      <c r="J127">
        <v>8</v>
      </c>
      <c r="K127">
        <v>1</v>
      </c>
      <c r="L127">
        <v>1</v>
      </c>
      <c r="M127" t="s">
        <v>17</v>
      </c>
    </row>
    <row r="128" spans="1:13" x14ac:dyDescent="0.3">
      <c r="A128" t="s">
        <v>168</v>
      </c>
      <c r="B128" t="s">
        <v>24</v>
      </c>
      <c r="C128" t="s">
        <v>52</v>
      </c>
      <c r="D128" t="s">
        <v>30</v>
      </c>
      <c r="E128">
        <v>26</v>
      </c>
      <c r="F128">
        <v>7</v>
      </c>
      <c r="G128">
        <v>35415</v>
      </c>
      <c r="H128">
        <v>2</v>
      </c>
      <c r="I128">
        <v>31</v>
      </c>
      <c r="J128">
        <v>5</v>
      </c>
      <c r="K128">
        <v>1</v>
      </c>
      <c r="L128">
        <v>2</v>
      </c>
      <c r="M128" t="s">
        <v>17</v>
      </c>
    </row>
    <row r="129" spans="1:13" x14ac:dyDescent="0.3">
      <c r="A129" t="s">
        <v>169</v>
      </c>
      <c r="B129" t="s">
        <v>43</v>
      </c>
      <c r="C129" t="s">
        <v>59</v>
      </c>
      <c r="D129" t="s">
        <v>16</v>
      </c>
      <c r="E129">
        <v>43</v>
      </c>
      <c r="F129">
        <v>4</v>
      </c>
      <c r="G129">
        <v>39400</v>
      </c>
      <c r="H129">
        <v>4</v>
      </c>
      <c r="I129">
        <v>33</v>
      </c>
      <c r="J129">
        <v>9</v>
      </c>
      <c r="K129">
        <v>4</v>
      </c>
      <c r="L129">
        <v>5</v>
      </c>
      <c r="M129" t="s">
        <v>17</v>
      </c>
    </row>
    <row r="130" spans="1:13" x14ac:dyDescent="0.3">
      <c r="A130" t="s">
        <v>170</v>
      </c>
      <c r="B130" t="s">
        <v>35</v>
      </c>
      <c r="C130" t="s">
        <v>83</v>
      </c>
      <c r="D130" t="s">
        <v>30</v>
      </c>
      <c r="E130">
        <v>33</v>
      </c>
      <c r="F130">
        <v>8</v>
      </c>
      <c r="G130">
        <v>54780</v>
      </c>
      <c r="H130">
        <v>5</v>
      </c>
      <c r="I130">
        <v>28</v>
      </c>
      <c r="J130">
        <v>5</v>
      </c>
      <c r="K130">
        <v>1</v>
      </c>
      <c r="L130">
        <v>1</v>
      </c>
      <c r="M130" t="s">
        <v>17</v>
      </c>
    </row>
    <row r="131" spans="1:13" x14ac:dyDescent="0.3">
      <c r="A131" t="s">
        <v>171</v>
      </c>
      <c r="B131" t="s">
        <v>14</v>
      </c>
      <c r="C131" t="s">
        <v>49</v>
      </c>
      <c r="D131" t="s">
        <v>16</v>
      </c>
      <c r="E131">
        <v>29</v>
      </c>
      <c r="F131">
        <v>10</v>
      </c>
      <c r="G131">
        <v>43603</v>
      </c>
      <c r="H131">
        <v>3</v>
      </c>
      <c r="I131">
        <v>11</v>
      </c>
      <c r="J131">
        <v>3</v>
      </c>
      <c r="K131">
        <v>4</v>
      </c>
      <c r="L131">
        <v>1</v>
      </c>
      <c r="M131" t="s">
        <v>33</v>
      </c>
    </row>
    <row r="132" spans="1:13" x14ac:dyDescent="0.3">
      <c r="A132" t="s">
        <v>172</v>
      </c>
      <c r="B132" t="s">
        <v>35</v>
      </c>
      <c r="C132" t="s">
        <v>41</v>
      </c>
      <c r="D132" t="s">
        <v>16</v>
      </c>
      <c r="E132">
        <v>35</v>
      </c>
      <c r="F132">
        <v>9</v>
      </c>
      <c r="G132">
        <v>85696</v>
      </c>
      <c r="H132">
        <v>4</v>
      </c>
      <c r="I132">
        <v>42</v>
      </c>
      <c r="J132">
        <v>1</v>
      </c>
      <c r="K132">
        <v>5</v>
      </c>
      <c r="L132">
        <v>5</v>
      </c>
      <c r="M132" t="s">
        <v>17</v>
      </c>
    </row>
    <row r="133" spans="1:13" x14ac:dyDescent="0.3">
      <c r="A133" t="s">
        <v>173</v>
      </c>
      <c r="B133" t="s">
        <v>19</v>
      </c>
      <c r="C133" t="s">
        <v>20</v>
      </c>
      <c r="D133" t="s">
        <v>16</v>
      </c>
      <c r="E133">
        <v>37</v>
      </c>
      <c r="F133">
        <v>3</v>
      </c>
      <c r="G133">
        <v>31294</v>
      </c>
      <c r="H133">
        <v>4</v>
      </c>
      <c r="I133">
        <v>38</v>
      </c>
      <c r="J133">
        <v>9</v>
      </c>
      <c r="K133">
        <v>3</v>
      </c>
      <c r="L133">
        <v>2</v>
      </c>
      <c r="M133" t="s">
        <v>17</v>
      </c>
    </row>
    <row r="134" spans="1:13" x14ac:dyDescent="0.3">
      <c r="A134" t="s">
        <v>174</v>
      </c>
      <c r="B134" t="s">
        <v>43</v>
      </c>
      <c r="C134" t="s">
        <v>72</v>
      </c>
      <c r="D134" t="s">
        <v>30</v>
      </c>
      <c r="E134">
        <v>44</v>
      </c>
      <c r="F134">
        <v>6</v>
      </c>
      <c r="G134">
        <v>81027</v>
      </c>
      <c r="H134">
        <v>2</v>
      </c>
      <c r="I134">
        <v>34</v>
      </c>
      <c r="J134">
        <v>9</v>
      </c>
      <c r="K134">
        <v>1</v>
      </c>
      <c r="L134">
        <v>3</v>
      </c>
      <c r="M134" t="s">
        <v>17</v>
      </c>
    </row>
    <row r="135" spans="1:13" x14ac:dyDescent="0.3">
      <c r="A135" t="s">
        <v>175</v>
      </c>
      <c r="B135" t="s">
        <v>35</v>
      </c>
      <c r="C135" t="s">
        <v>41</v>
      </c>
      <c r="D135" t="s">
        <v>30</v>
      </c>
      <c r="E135">
        <v>23</v>
      </c>
      <c r="F135">
        <v>15</v>
      </c>
      <c r="G135">
        <v>48532</v>
      </c>
      <c r="H135">
        <v>1</v>
      </c>
      <c r="I135">
        <v>14</v>
      </c>
      <c r="J135">
        <v>7</v>
      </c>
      <c r="K135">
        <v>5</v>
      </c>
      <c r="L135">
        <v>1</v>
      </c>
      <c r="M135" t="s">
        <v>17</v>
      </c>
    </row>
    <row r="136" spans="1:13" x14ac:dyDescent="0.3">
      <c r="A136" t="s">
        <v>176</v>
      </c>
      <c r="B136" t="s">
        <v>14</v>
      </c>
      <c r="C136" t="s">
        <v>38</v>
      </c>
      <c r="D136" t="s">
        <v>16</v>
      </c>
      <c r="E136">
        <v>32</v>
      </c>
      <c r="F136">
        <v>1</v>
      </c>
      <c r="G136">
        <v>84347</v>
      </c>
      <c r="H136">
        <v>3</v>
      </c>
      <c r="I136">
        <v>40</v>
      </c>
      <c r="J136">
        <v>7</v>
      </c>
      <c r="K136">
        <v>1</v>
      </c>
      <c r="L136">
        <v>4</v>
      </c>
      <c r="M136" t="s">
        <v>17</v>
      </c>
    </row>
    <row r="137" spans="1:13" x14ac:dyDescent="0.3">
      <c r="A137" t="s">
        <v>177</v>
      </c>
      <c r="B137" t="s">
        <v>28</v>
      </c>
      <c r="C137" t="s">
        <v>46</v>
      </c>
      <c r="D137" t="s">
        <v>30</v>
      </c>
      <c r="E137">
        <v>26</v>
      </c>
      <c r="F137">
        <v>11</v>
      </c>
      <c r="G137">
        <v>87574</v>
      </c>
      <c r="H137">
        <v>3</v>
      </c>
      <c r="I137">
        <v>24</v>
      </c>
      <c r="J137">
        <v>5</v>
      </c>
      <c r="K137">
        <v>5</v>
      </c>
      <c r="L137">
        <v>5</v>
      </c>
      <c r="M137" t="s">
        <v>33</v>
      </c>
    </row>
    <row r="138" spans="1:13" x14ac:dyDescent="0.3">
      <c r="A138" t="s">
        <v>178</v>
      </c>
      <c r="B138" t="s">
        <v>28</v>
      </c>
      <c r="C138" t="s">
        <v>46</v>
      </c>
      <c r="D138" t="s">
        <v>30</v>
      </c>
      <c r="E138">
        <v>25</v>
      </c>
      <c r="F138">
        <v>3</v>
      </c>
      <c r="G138">
        <v>59650</v>
      </c>
      <c r="H138">
        <v>5</v>
      </c>
      <c r="I138">
        <v>7</v>
      </c>
      <c r="J138">
        <v>3</v>
      </c>
      <c r="K138">
        <v>4</v>
      </c>
      <c r="L138">
        <v>3</v>
      </c>
      <c r="M138" t="s">
        <v>17</v>
      </c>
    </row>
    <row r="139" spans="1:13" x14ac:dyDescent="0.3">
      <c r="A139" t="s">
        <v>179</v>
      </c>
      <c r="B139" t="s">
        <v>28</v>
      </c>
      <c r="C139" t="s">
        <v>46</v>
      </c>
      <c r="D139" t="s">
        <v>30</v>
      </c>
      <c r="E139">
        <v>29</v>
      </c>
      <c r="F139">
        <v>1</v>
      </c>
      <c r="G139">
        <v>79881</v>
      </c>
      <c r="H139">
        <v>4</v>
      </c>
      <c r="I139">
        <v>9</v>
      </c>
      <c r="J139">
        <v>7</v>
      </c>
      <c r="K139">
        <v>3</v>
      </c>
      <c r="L139">
        <v>5</v>
      </c>
      <c r="M139" t="s">
        <v>17</v>
      </c>
    </row>
    <row r="140" spans="1:13" x14ac:dyDescent="0.3">
      <c r="A140" t="s">
        <v>180</v>
      </c>
      <c r="B140" t="s">
        <v>19</v>
      </c>
      <c r="C140" t="s">
        <v>20</v>
      </c>
      <c r="D140" t="s">
        <v>16</v>
      </c>
      <c r="E140">
        <v>48</v>
      </c>
      <c r="F140">
        <v>4</v>
      </c>
      <c r="G140">
        <v>41297</v>
      </c>
      <c r="H140">
        <v>2</v>
      </c>
      <c r="I140">
        <v>42</v>
      </c>
      <c r="J140">
        <v>11</v>
      </c>
      <c r="K140">
        <v>1</v>
      </c>
      <c r="L140">
        <v>3</v>
      </c>
      <c r="M140" t="s">
        <v>17</v>
      </c>
    </row>
    <row r="141" spans="1:13" x14ac:dyDescent="0.3">
      <c r="A141" t="s">
        <v>181</v>
      </c>
      <c r="B141" t="s">
        <v>24</v>
      </c>
      <c r="C141" t="s">
        <v>52</v>
      </c>
      <c r="D141" t="s">
        <v>30</v>
      </c>
      <c r="E141">
        <v>39</v>
      </c>
      <c r="F141">
        <v>7</v>
      </c>
      <c r="G141">
        <v>51517</v>
      </c>
      <c r="H141">
        <v>2</v>
      </c>
      <c r="I141">
        <v>45</v>
      </c>
      <c r="J141">
        <v>4</v>
      </c>
      <c r="K141">
        <v>1</v>
      </c>
      <c r="L141">
        <v>5</v>
      </c>
      <c r="M141" t="s">
        <v>33</v>
      </c>
    </row>
    <row r="142" spans="1:13" x14ac:dyDescent="0.3">
      <c r="A142" t="s">
        <v>182</v>
      </c>
      <c r="B142" t="s">
        <v>19</v>
      </c>
      <c r="C142" t="s">
        <v>22</v>
      </c>
      <c r="D142" t="s">
        <v>30</v>
      </c>
      <c r="E142">
        <v>37</v>
      </c>
      <c r="F142">
        <v>14</v>
      </c>
      <c r="G142">
        <v>80548</v>
      </c>
      <c r="H142">
        <v>5</v>
      </c>
      <c r="I142">
        <v>15</v>
      </c>
      <c r="J142">
        <v>12</v>
      </c>
      <c r="K142">
        <v>2</v>
      </c>
      <c r="L142">
        <v>2</v>
      </c>
      <c r="M142" t="s">
        <v>17</v>
      </c>
    </row>
    <row r="143" spans="1:13" x14ac:dyDescent="0.3">
      <c r="A143" t="s">
        <v>183</v>
      </c>
      <c r="B143" t="s">
        <v>35</v>
      </c>
      <c r="C143" t="s">
        <v>83</v>
      </c>
      <c r="D143" t="s">
        <v>30</v>
      </c>
      <c r="E143">
        <v>26</v>
      </c>
      <c r="F143">
        <v>5</v>
      </c>
      <c r="G143">
        <v>30925</v>
      </c>
      <c r="H143">
        <v>4</v>
      </c>
      <c r="I143">
        <v>6</v>
      </c>
      <c r="J143">
        <v>9</v>
      </c>
      <c r="K143">
        <v>2</v>
      </c>
      <c r="L143">
        <v>2</v>
      </c>
      <c r="M143" t="s">
        <v>17</v>
      </c>
    </row>
    <row r="144" spans="1:13" x14ac:dyDescent="0.3">
      <c r="A144" t="s">
        <v>184</v>
      </c>
      <c r="B144" t="s">
        <v>35</v>
      </c>
      <c r="C144" t="s">
        <v>88</v>
      </c>
      <c r="D144" t="s">
        <v>16</v>
      </c>
      <c r="E144">
        <v>31</v>
      </c>
      <c r="F144">
        <v>14</v>
      </c>
      <c r="G144">
        <v>30599</v>
      </c>
      <c r="H144">
        <v>2</v>
      </c>
      <c r="I144">
        <v>32</v>
      </c>
      <c r="J144">
        <v>1</v>
      </c>
      <c r="K144">
        <v>5</v>
      </c>
      <c r="L144">
        <v>3</v>
      </c>
      <c r="M144" t="s">
        <v>17</v>
      </c>
    </row>
    <row r="145" spans="1:13" x14ac:dyDescent="0.3">
      <c r="A145" t="s">
        <v>185</v>
      </c>
      <c r="B145" t="s">
        <v>19</v>
      </c>
      <c r="C145" t="s">
        <v>32</v>
      </c>
      <c r="D145" t="s">
        <v>16</v>
      </c>
      <c r="E145">
        <v>27</v>
      </c>
      <c r="F145">
        <v>13</v>
      </c>
      <c r="G145">
        <v>52435</v>
      </c>
      <c r="H145">
        <v>4</v>
      </c>
      <c r="I145">
        <v>48</v>
      </c>
      <c r="J145">
        <v>3</v>
      </c>
      <c r="K145">
        <v>1</v>
      </c>
      <c r="L145">
        <v>5</v>
      </c>
      <c r="M145" t="s">
        <v>33</v>
      </c>
    </row>
    <row r="146" spans="1:13" x14ac:dyDescent="0.3">
      <c r="A146" t="s">
        <v>186</v>
      </c>
      <c r="B146" t="s">
        <v>24</v>
      </c>
      <c r="C146" t="s">
        <v>65</v>
      </c>
      <c r="D146" t="s">
        <v>30</v>
      </c>
      <c r="E146">
        <v>28</v>
      </c>
      <c r="F146">
        <v>4</v>
      </c>
      <c r="G146">
        <v>85102</v>
      </c>
      <c r="H146">
        <v>4</v>
      </c>
      <c r="I146">
        <v>23</v>
      </c>
      <c r="J146">
        <v>5</v>
      </c>
      <c r="K146">
        <v>2</v>
      </c>
      <c r="L146">
        <v>2</v>
      </c>
      <c r="M146" t="s">
        <v>17</v>
      </c>
    </row>
    <row r="147" spans="1:13" x14ac:dyDescent="0.3">
      <c r="A147" t="s">
        <v>187</v>
      </c>
      <c r="B147" t="s">
        <v>14</v>
      </c>
      <c r="C147" t="s">
        <v>49</v>
      </c>
      <c r="D147" t="s">
        <v>16</v>
      </c>
      <c r="E147">
        <v>28</v>
      </c>
      <c r="F147">
        <v>10</v>
      </c>
      <c r="G147">
        <v>49968</v>
      </c>
      <c r="H147">
        <v>4</v>
      </c>
      <c r="I147">
        <v>37</v>
      </c>
      <c r="J147">
        <v>11</v>
      </c>
      <c r="K147">
        <v>2</v>
      </c>
      <c r="L147">
        <v>4</v>
      </c>
      <c r="M147" t="s">
        <v>17</v>
      </c>
    </row>
    <row r="148" spans="1:13" x14ac:dyDescent="0.3">
      <c r="A148" t="s">
        <v>188</v>
      </c>
      <c r="B148" t="s">
        <v>35</v>
      </c>
      <c r="C148" t="s">
        <v>88</v>
      </c>
      <c r="D148" t="s">
        <v>16</v>
      </c>
      <c r="E148">
        <v>24</v>
      </c>
      <c r="F148">
        <v>5</v>
      </c>
      <c r="G148">
        <v>45724</v>
      </c>
      <c r="H148">
        <v>1</v>
      </c>
      <c r="I148">
        <v>8</v>
      </c>
      <c r="J148">
        <v>8</v>
      </c>
      <c r="K148">
        <v>4</v>
      </c>
      <c r="L148">
        <v>2</v>
      </c>
      <c r="M148" t="s">
        <v>17</v>
      </c>
    </row>
    <row r="149" spans="1:13" x14ac:dyDescent="0.3">
      <c r="A149" t="s">
        <v>189</v>
      </c>
      <c r="B149" t="s">
        <v>14</v>
      </c>
      <c r="C149" t="s">
        <v>38</v>
      </c>
      <c r="D149" t="s">
        <v>30</v>
      </c>
      <c r="E149">
        <v>26</v>
      </c>
      <c r="F149">
        <v>9</v>
      </c>
      <c r="G149">
        <v>86266</v>
      </c>
      <c r="H149">
        <v>5</v>
      </c>
      <c r="I149">
        <v>51</v>
      </c>
      <c r="J149">
        <v>10</v>
      </c>
      <c r="K149">
        <v>3</v>
      </c>
      <c r="L149">
        <v>5</v>
      </c>
      <c r="M149" t="s">
        <v>33</v>
      </c>
    </row>
    <row r="150" spans="1:13" x14ac:dyDescent="0.3">
      <c r="A150" t="s">
        <v>190</v>
      </c>
      <c r="B150" t="s">
        <v>24</v>
      </c>
      <c r="C150" t="s">
        <v>65</v>
      </c>
      <c r="D150" t="s">
        <v>16</v>
      </c>
      <c r="E150">
        <v>35</v>
      </c>
      <c r="F150">
        <v>4</v>
      </c>
      <c r="G150">
        <v>82484</v>
      </c>
      <c r="H150">
        <v>4</v>
      </c>
      <c r="I150">
        <v>31</v>
      </c>
      <c r="J150">
        <v>12</v>
      </c>
      <c r="K150">
        <v>3</v>
      </c>
      <c r="L150">
        <v>5</v>
      </c>
      <c r="M150" t="s">
        <v>17</v>
      </c>
    </row>
    <row r="151" spans="1:13" x14ac:dyDescent="0.3">
      <c r="A151" t="s">
        <v>191</v>
      </c>
      <c r="B151" t="s">
        <v>28</v>
      </c>
      <c r="C151" t="s">
        <v>29</v>
      </c>
      <c r="D151" t="s">
        <v>16</v>
      </c>
      <c r="E151">
        <v>42</v>
      </c>
      <c r="F151">
        <v>13</v>
      </c>
      <c r="G151">
        <v>86902</v>
      </c>
      <c r="H151">
        <v>1</v>
      </c>
      <c r="I151">
        <v>13</v>
      </c>
      <c r="J151">
        <v>10</v>
      </c>
      <c r="K151">
        <v>2</v>
      </c>
      <c r="L151">
        <v>3</v>
      </c>
      <c r="M151" t="s">
        <v>17</v>
      </c>
    </row>
    <row r="152" spans="1:13" x14ac:dyDescent="0.3">
      <c r="A152" t="s">
        <v>192</v>
      </c>
      <c r="B152" t="s">
        <v>35</v>
      </c>
      <c r="C152" t="s">
        <v>36</v>
      </c>
      <c r="D152" t="s">
        <v>16</v>
      </c>
      <c r="E152">
        <v>22</v>
      </c>
      <c r="F152">
        <v>2</v>
      </c>
      <c r="G152">
        <v>65151</v>
      </c>
      <c r="H152">
        <v>4</v>
      </c>
      <c r="I152">
        <v>52</v>
      </c>
      <c r="J152">
        <v>1</v>
      </c>
      <c r="K152">
        <v>5</v>
      </c>
      <c r="L152">
        <v>5</v>
      </c>
      <c r="M152" t="s">
        <v>17</v>
      </c>
    </row>
    <row r="153" spans="1:13" x14ac:dyDescent="0.3">
      <c r="A153" t="s">
        <v>193</v>
      </c>
      <c r="B153" t="s">
        <v>35</v>
      </c>
      <c r="C153" t="s">
        <v>41</v>
      </c>
      <c r="D153" t="s">
        <v>30</v>
      </c>
      <c r="E153">
        <v>44</v>
      </c>
      <c r="F153">
        <v>13</v>
      </c>
      <c r="G153">
        <v>43182</v>
      </c>
      <c r="H153">
        <v>2</v>
      </c>
      <c r="I153">
        <v>41</v>
      </c>
      <c r="J153">
        <v>1</v>
      </c>
      <c r="K153">
        <v>2</v>
      </c>
      <c r="L153">
        <v>2</v>
      </c>
      <c r="M153" t="s">
        <v>17</v>
      </c>
    </row>
    <row r="154" spans="1:13" x14ac:dyDescent="0.3">
      <c r="A154" t="s">
        <v>194</v>
      </c>
      <c r="B154" t="s">
        <v>19</v>
      </c>
      <c r="C154" t="s">
        <v>20</v>
      </c>
      <c r="D154" t="s">
        <v>16</v>
      </c>
      <c r="E154">
        <v>44</v>
      </c>
      <c r="F154">
        <v>15</v>
      </c>
      <c r="G154">
        <v>84190</v>
      </c>
      <c r="H154">
        <v>2</v>
      </c>
      <c r="I154">
        <v>33</v>
      </c>
      <c r="J154">
        <v>5</v>
      </c>
      <c r="K154">
        <v>2</v>
      </c>
      <c r="L154">
        <v>3</v>
      </c>
      <c r="M154" t="s">
        <v>17</v>
      </c>
    </row>
    <row r="155" spans="1:13" x14ac:dyDescent="0.3">
      <c r="A155" t="s">
        <v>195</v>
      </c>
      <c r="B155" t="s">
        <v>19</v>
      </c>
      <c r="C155" t="s">
        <v>32</v>
      </c>
      <c r="D155" t="s">
        <v>16</v>
      </c>
      <c r="E155">
        <v>27</v>
      </c>
      <c r="F155">
        <v>8</v>
      </c>
      <c r="G155">
        <v>56333</v>
      </c>
      <c r="H155">
        <v>5</v>
      </c>
      <c r="I155">
        <v>41</v>
      </c>
      <c r="J155">
        <v>11</v>
      </c>
      <c r="K155">
        <v>3</v>
      </c>
      <c r="L155">
        <v>3</v>
      </c>
      <c r="M155" t="s">
        <v>17</v>
      </c>
    </row>
    <row r="156" spans="1:13" x14ac:dyDescent="0.3">
      <c r="A156" t="s">
        <v>196</v>
      </c>
      <c r="B156" t="s">
        <v>19</v>
      </c>
      <c r="C156" t="s">
        <v>22</v>
      </c>
      <c r="D156" t="s">
        <v>16</v>
      </c>
      <c r="E156">
        <v>49</v>
      </c>
      <c r="F156">
        <v>14</v>
      </c>
      <c r="G156">
        <v>64504</v>
      </c>
      <c r="H156">
        <v>2</v>
      </c>
      <c r="I156">
        <v>13</v>
      </c>
      <c r="J156">
        <v>5</v>
      </c>
      <c r="K156">
        <v>2</v>
      </c>
      <c r="L156">
        <v>3</v>
      </c>
      <c r="M156" t="s">
        <v>33</v>
      </c>
    </row>
    <row r="157" spans="1:13" x14ac:dyDescent="0.3">
      <c r="A157" t="s">
        <v>197</v>
      </c>
      <c r="B157" t="s">
        <v>24</v>
      </c>
      <c r="C157" t="s">
        <v>25</v>
      </c>
      <c r="D157" t="s">
        <v>16</v>
      </c>
      <c r="E157">
        <v>31</v>
      </c>
      <c r="F157">
        <v>10</v>
      </c>
      <c r="G157">
        <v>44390</v>
      </c>
      <c r="H157">
        <v>1</v>
      </c>
      <c r="I157">
        <v>60</v>
      </c>
      <c r="J157">
        <v>12</v>
      </c>
      <c r="K157">
        <v>2</v>
      </c>
      <c r="L157">
        <v>4</v>
      </c>
      <c r="M157" t="s">
        <v>17</v>
      </c>
    </row>
    <row r="158" spans="1:13" x14ac:dyDescent="0.3">
      <c r="A158" t="s">
        <v>198</v>
      </c>
      <c r="B158" t="s">
        <v>19</v>
      </c>
      <c r="C158" t="s">
        <v>20</v>
      </c>
      <c r="D158" t="s">
        <v>30</v>
      </c>
      <c r="E158">
        <v>36</v>
      </c>
      <c r="F158">
        <v>0</v>
      </c>
      <c r="G158">
        <v>66261</v>
      </c>
      <c r="H158">
        <v>1</v>
      </c>
      <c r="I158">
        <v>47</v>
      </c>
      <c r="J158">
        <v>8</v>
      </c>
      <c r="K158">
        <v>5</v>
      </c>
      <c r="L158">
        <v>2</v>
      </c>
      <c r="M158" t="s">
        <v>17</v>
      </c>
    </row>
    <row r="159" spans="1:13" x14ac:dyDescent="0.3">
      <c r="A159" t="s">
        <v>199</v>
      </c>
      <c r="B159" t="s">
        <v>43</v>
      </c>
      <c r="C159" t="s">
        <v>72</v>
      </c>
      <c r="D159" t="s">
        <v>16</v>
      </c>
      <c r="E159">
        <v>39</v>
      </c>
      <c r="F159">
        <v>5</v>
      </c>
      <c r="G159">
        <v>68264</v>
      </c>
      <c r="H159">
        <v>4</v>
      </c>
      <c r="I159">
        <v>19</v>
      </c>
      <c r="J159">
        <v>10</v>
      </c>
      <c r="K159">
        <v>4</v>
      </c>
      <c r="L159">
        <v>1</v>
      </c>
      <c r="M159" t="s">
        <v>17</v>
      </c>
    </row>
    <row r="160" spans="1:13" x14ac:dyDescent="0.3">
      <c r="A160" t="s">
        <v>200</v>
      </c>
      <c r="B160" t="s">
        <v>28</v>
      </c>
      <c r="C160" t="s">
        <v>46</v>
      </c>
      <c r="D160" t="s">
        <v>30</v>
      </c>
      <c r="E160">
        <v>31</v>
      </c>
      <c r="F160">
        <v>11</v>
      </c>
      <c r="G160">
        <v>30259</v>
      </c>
      <c r="H160">
        <v>1</v>
      </c>
      <c r="I160">
        <v>23</v>
      </c>
      <c r="J160">
        <v>3</v>
      </c>
      <c r="K160">
        <v>1</v>
      </c>
      <c r="L160">
        <v>5</v>
      </c>
      <c r="M160" t="s">
        <v>17</v>
      </c>
    </row>
    <row r="161" spans="1:13" x14ac:dyDescent="0.3">
      <c r="A161" t="s">
        <v>201</v>
      </c>
      <c r="B161" t="s">
        <v>19</v>
      </c>
      <c r="C161" t="s">
        <v>22</v>
      </c>
      <c r="D161" t="s">
        <v>30</v>
      </c>
      <c r="E161">
        <v>35</v>
      </c>
      <c r="F161">
        <v>3</v>
      </c>
      <c r="G161">
        <v>71569</v>
      </c>
      <c r="H161">
        <v>3</v>
      </c>
      <c r="I161">
        <v>44</v>
      </c>
      <c r="J161">
        <v>2</v>
      </c>
      <c r="K161">
        <v>1</v>
      </c>
      <c r="L161">
        <v>4</v>
      </c>
      <c r="M161" t="s">
        <v>33</v>
      </c>
    </row>
    <row r="162" spans="1:13" x14ac:dyDescent="0.3">
      <c r="A162" t="s">
        <v>202</v>
      </c>
      <c r="B162" t="s">
        <v>14</v>
      </c>
      <c r="C162" t="s">
        <v>15</v>
      </c>
      <c r="D162" t="s">
        <v>30</v>
      </c>
      <c r="E162">
        <v>42</v>
      </c>
      <c r="F162">
        <v>11</v>
      </c>
      <c r="G162">
        <v>55412</v>
      </c>
      <c r="H162">
        <v>2</v>
      </c>
      <c r="I162">
        <v>50</v>
      </c>
      <c r="J162">
        <v>3</v>
      </c>
      <c r="K162">
        <v>4</v>
      </c>
      <c r="L162">
        <v>3</v>
      </c>
      <c r="M162" t="s">
        <v>17</v>
      </c>
    </row>
    <row r="163" spans="1:13" x14ac:dyDescent="0.3">
      <c r="A163" t="s">
        <v>203</v>
      </c>
      <c r="B163" t="s">
        <v>19</v>
      </c>
      <c r="C163" t="s">
        <v>22</v>
      </c>
      <c r="D163" t="s">
        <v>30</v>
      </c>
      <c r="E163">
        <v>27</v>
      </c>
      <c r="F163">
        <v>12</v>
      </c>
      <c r="G163">
        <v>88348</v>
      </c>
      <c r="H163">
        <v>5</v>
      </c>
      <c r="I163">
        <v>22</v>
      </c>
      <c r="J163">
        <v>4</v>
      </c>
      <c r="K163">
        <v>3</v>
      </c>
      <c r="L163">
        <v>5</v>
      </c>
      <c r="M163" t="s">
        <v>17</v>
      </c>
    </row>
    <row r="164" spans="1:13" x14ac:dyDescent="0.3">
      <c r="A164" t="s">
        <v>204</v>
      </c>
      <c r="B164" t="s">
        <v>43</v>
      </c>
      <c r="C164" t="s">
        <v>72</v>
      </c>
      <c r="D164" t="s">
        <v>30</v>
      </c>
      <c r="E164">
        <v>22</v>
      </c>
      <c r="F164">
        <v>1</v>
      </c>
      <c r="G164">
        <v>41273</v>
      </c>
      <c r="H164">
        <v>4</v>
      </c>
      <c r="I164">
        <v>17</v>
      </c>
      <c r="J164">
        <v>9</v>
      </c>
      <c r="K164">
        <v>2</v>
      </c>
      <c r="L164">
        <v>1</v>
      </c>
      <c r="M164" t="s">
        <v>17</v>
      </c>
    </row>
    <row r="165" spans="1:13" x14ac:dyDescent="0.3">
      <c r="A165" t="s">
        <v>205</v>
      </c>
      <c r="B165" t="s">
        <v>14</v>
      </c>
      <c r="C165" t="s">
        <v>49</v>
      </c>
      <c r="D165" t="s">
        <v>30</v>
      </c>
      <c r="E165">
        <v>28</v>
      </c>
      <c r="F165">
        <v>9</v>
      </c>
      <c r="G165">
        <v>43382</v>
      </c>
      <c r="H165">
        <v>5</v>
      </c>
      <c r="I165">
        <v>42</v>
      </c>
      <c r="J165">
        <v>11</v>
      </c>
      <c r="K165">
        <v>4</v>
      </c>
      <c r="L165">
        <v>2</v>
      </c>
      <c r="M165" t="s">
        <v>17</v>
      </c>
    </row>
    <row r="166" spans="1:13" x14ac:dyDescent="0.3">
      <c r="A166" t="s">
        <v>206</v>
      </c>
      <c r="B166" t="s">
        <v>43</v>
      </c>
      <c r="C166" t="s">
        <v>44</v>
      </c>
      <c r="D166" t="s">
        <v>30</v>
      </c>
      <c r="E166">
        <v>25</v>
      </c>
      <c r="F166">
        <v>15</v>
      </c>
      <c r="G166">
        <v>30249</v>
      </c>
      <c r="H166">
        <v>1</v>
      </c>
      <c r="I166">
        <v>58</v>
      </c>
      <c r="J166">
        <v>7</v>
      </c>
      <c r="K166">
        <v>3</v>
      </c>
      <c r="L166">
        <v>3</v>
      </c>
      <c r="M166" t="s">
        <v>17</v>
      </c>
    </row>
    <row r="167" spans="1:13" x14ac:dyDescent="0.3">
      <c r="A167" t="s">
        <v>207</v>
      </c>
      <c r="B167" t="s">
        <v>24</v>
      </c>
      <c r="C167" t="s">
        <v>65</v>
      </c>
      <c r="D167" t="s">
        <v>30</v>
      </c>
      <c r="E167">
        <v>42</v>
      </c>
      <c r="F167">
        <v>11</v>
      </c>
      <c r="G167">
        <v>33730</v>
      </c>
      <c r="H167">
        <v>5</v>
      </c>
      <c r="I167">
        <v>42</v>
      </c>
      <c r="J167">
        <v>7</v>
      </c>
      <c r="K167">
        <v>4</v>
      </c>
      <c r="L167">
        <v>1</v>
      </c>
      <c r="M167" t="s">
        <v>17</v>
      </c>
    </row>
    <row r="168" spans="1:13" x14ac:dyDescent="0.3">
      <c r="A168" t="s">
        <v>208</v>
      </c>
      <c r="B168" t="s">
        <v>14</v>
      </c>
      <c r="C168" t="s">
        <v>15</v>
      </c>
      <c r="D168" t="s">
        <v>16</v>
      </c>
      <c r="E168">
        <v>48</v>
      </c>
      <c r="F168">
        <v>3</v>
      </c>
      <c r="G168">
        <v>84193</v>
      </c>
      <c r="H168">
        <v>1</v>
      </c>
      <c r="I168">
        <v>23</v>
      </c>
      <c r="J168">
        <v>6</v>
      </c>
      <c r="K168">
        <v>1</v>
      </c>
      <c r="L168">
        <v>5</v>
      </c>
      <c r="M168" t="s">
        <v>17</v>
      </c>
    </row>
    <row r="169" spans="1:13" x14ac:dyDescent="0.3">
      <c r="A169" t="s">
        <v>209</v>
      </c>
      <c r="B169" t="s">
        <v>43</v>
      </c>
      <c r="C169" t="s">
        <v>72</v>
      </c>
      <c r="D169" t="s">
        <v>16</v>
      </c>
      <c r="E169">
        <v>25</v>
      </c>
      <c r="F169">
        <v>11</v>
      </c>
      <c r="G169">
        <v>43222</v>
      </c>
      <c r="H169">
        <v>3</v>
      </c>
      <c r="I169">
        <v>56</v>
      </c>
      <c r="J169">
        <v>3</v>
      </c>
      <c r="K169">
        <v>5</v>
      </c>
      <c r="L169">
        <v>1</v>
      </c>
      <c r="M169" t="s">
        <v>17</v>
      </c>
    </row>
    <row r="170" spans="1:13" x14ac:dyDescent="0.3">
      <c r="A170" t="s">
        <v>210</v>
      </c>
      <c r="B170" t="s">
        <v>28</v>
      </c>
      <c r="C170" t="s">
        <v>29</v>
      </c>
      <c r="D170" t="s">
        <v>16</v>
      </c>
      <c r="E170">
        <v>35</v>
      </c>
      <c r="F170">
        <v>7</v>
      </c>
      <c r="G170">
        <v>54110</v>
      </c>
      <c r="H170">
        <v>3</v>
      </c>
      <c r="I170">
        <v>29</v>
      </c>
      <c r="J170">
        <v>10</v>
      </c>
      <c r="K170">
        <v>4</v>
      </c>
      <c r="L170">
        <v>2</v>
      </c>
      <c r="M170" t="s">
        <v>17</v>
      </c>
    </row>
    <row r="171" spans="1:13" x14ac:dyDescent="0.3">
      <c r="A171" t="s">
        <v>211</v>
      </c>
      <c r="B171" t="s">
        <v>35</v>
      </c>
      <c r="C171" t="s">
        <v>88</v>
      </c>
      <c r="D171" t="s">
        <v>16</v>
      </c>
      <c r="E171">
        <v>22</v>
      </c>
      <c r="F171">
        <v>9</v>
      </c>
      <c r="G171">
        <v>79478</v>
      </c>
      <c r="H171">
        <v>2</v>
      </c>
      <c r="I171">
        <v>58</v>
      </c>
      <c r="J171">
        <v>3</v>
      </c>
      <c r="K171">
        <v>5</v>
      </c>
      <c r="L171">
        <v>5</v>
      </c>
      <c r="M171" t="s">
        <v>17</v>
      </c>
    </row>
    <row r="172" spans="1:13" x14ac:dyDescent="0.3">
      <c r="A172" t="s">
        <v>212</v>
      </c>
      <c r="B172" t="s">
        <v>24</v>
      </c>
      <c r="C172" t="s">
        <v>52</v>
      </c>
      <c r="D172" t="s">
        <v>30</v>
      </c>
      <c r="E172">
        <v>46</v>
      </c>
      <c r="F172">
        <v>8</v>
      </c>
      <c r="G172">
        <v>43234</v>
      </c>
      <c r="H172">
        <v>4</v>
      </c>
      <c r="I172">
        <v>33</v>
      </c>
      <c r="J172">
        <v>7</v>
      </c>
      <c r="K172">
        <v>1</v>
      </c>
      <c r="L172">
        <v>1</v>
      </c>
      <c r="M172" t="s">
        <v>33</v>
      </c>
    </row>
    <row r="173" spans="1:13" x14ac:dyDescent="0.3">
      <c r="A173" t="s">
        <v>213</v>
      </c>
      <c r="B173" t="s">
        <v>14</v>
      </c>
      <c r="C173" t="s">
        <v>15</v>
      </c>
      <c r="D173" t="s">
        <v>16</v>
      </c>
      <c r="E173">
        <v>47</v>
      </c>
      <c r="F173">
        <v>8</v>
      </c>
      <c r="G173">
        <v>37795</v>
      </c>
      <c r="H173">
        <v>1</v>
      </c>
      <c r="I173">
        <v>34</v>
      </c>
      <c r="J173">
        <v>1</v>
      </c>
      <c r="K173">
        <v>5</v>
      </c>
      <c r="L173">
        <v>2</v>
      </c>
      <c r="M173" t="s">
        <v>17</v>
      </c>
    </row>
    <row r="174" spans="1:13" x14ac:dyDescent="0.3">
      <c r="A174" t="s">
        <v>214</v>
      </c>
      <c r="B174" t="s">
        <v>14</v>
      </c>
      <c r="C174" t="s">
        <v>49</v>
      </c>
      <c r="D174" t="s">
        <v>16</v>
      </c>
      <c r="E174">
        <v>36</v>
      </c>
      <c r="F174">
        <v>0</v>
      </c>
      <c r="G174">
        <v>34414</v>
      </c>
      <c r="H174">
        <v>5</v>
      </c>
      <c r="I174">
        <v>54</v>
      </c>
      <c r="J174">
        <v>3</v>
      </c>
      <c r="K174">
        <v>2</v>
      </c>
      <c r="L174">
        <v>3</v>
      </c>
      <c r="M174" t="s">
        <v>17</v>
      </c>
    </row>
    <row r="175" spans="1:13" x14ac:dyDescent="0.3">
      <c r="A175" t="s">
        <v>215</v>
      </c>
      <c r="B175" t="s">
        <v>43</v>
      </c>
      <c r="C175" t="s">
        <v>59</v>
      </c>
      <c r="D175" t="s">
        <v>30</v>
      </c>
      <c r="E175">
        <v>38</v>
      </c>
      <c r="F175">
        <v>3</v>
      </c>
      <c r="G175">
        <v>72575</v>
      </c>
      <c r="H175">
        <v>5</v>
      </c>
      <c r="I175">
        <v>13</v>
      </c>
      <c r="J175">
        <v>4</v>
      </c>
      <c r="K175">
        <v>5</v>
      </c>
      <c r="L175">
        <v>4</v>
      </c>
      <c r="M175" t="s">
        <v>17</v>
      </c>
    </row>
    <row r="176" spans="1:13" x14ac:dyDescent="0.3">
      <c r="A176" t="s">
        <v>216</v>
      </c>
      <c r="B176" t="s">
        <v>19</v>
      </c>
      <c r="C176" t="s">
        <v>20</v>
      </c>
      <c r="D176" t="s">
        <v>30</v>
      </c>
      <c r="E176">
        <v>34</v>
      </c>
      <c r="F176">
        <v>7</v>
      </c>
      <c r="G176">
        <v>70028</v>
      </c>
      <c r="H176">
        <v>2</v>
      </c>
      <c r="I176">
        <v>35</v>
      </c>
      <c r="J176">
        <v>4</v>
      </c>
      <c r="K176">
        <v>2</v>
      </c>
      <c r="L176">
        <v>3</v>
      </c>
      <c r="M176" t="s">
        <v>33</v>
      </c>
    </row>
    <row r="177" spans="1:13" x14ac:dyDescent="0.3">
      <c r="A177" t="s">
        <v>217</v>
      </c>
      <c r="B177" t="s">
        <v>35</v>
      </c>
      <c r="C177" t="s">
        <v>83</v>
      </c>
      <c r="D177" t="s">
        <v>16</v>
      </c>
      <c r="E177">
        <v>33</v>
      </c>
      <c r="F177">
        <v>15</v>
      </c>
      <c r="G177">
        <v>52335</v>
      </c>
      <c r="H177">
        <v>1</v>
      </c>
      <c r="I177">
        <v>44</v>
      </c>
      <c r="J177">
        <v>11</v>
      </c>
      <c r="K177">
        <v>4</v>
      </c>
      <c r="L177">
        <v>1</v>
      </c>
      <c r="M177" t="s">
        <v>17</v>
      </c>
    </row>
    <row r="178" spans="1:13" x14ac:dyDescent="0.3">
      <c r="A178" t="s">
        <v>218</v>
      </c>
      <c r="B178" t="s">
        <v>28</v>
      </c>
      <c r="C178" t="s">
        <v>61</v>
      </c>
      <c r="D178" t="s">
        <v>30</v>
      </c>
      <c r="E178">
        <v>35</v>
      </c>
      <c r="F178">
        <v>0</v>
      </c>
      <c r="G178">
        <v>80285</v>
      </c>
      <c r="H178">
        <v>3</v>
      </c>
      <c r="I178">
        <v>20</v>
      </c>
      <c r="J178">
        <v>4</v>
      </c>
      <c r="K178">
        <v>5</v>
      </c>
      <c r="L178">
        <v>3</v>
      </c>
      <c r="M178" t="s">
        <v>17</v>
      </c>
    </row>
    <row r="179" spans="1:13" x14ac:dyDescent="0.3">
      <c r="A179" t="s">
        <v>219</v>
      </c>
      <c r="B179" t="s">
        <v>24</v>
      </c>
      <c r="C179" t="s">
        <v>25</v>
      </c>
      <c r="D179" t="s">
        <v>30</v>
      </c>
      <c r="E179">
        <v>35</v>
      </c>
      <c r="F179">
        <v>15</v>
      </c>
      <c r="G179">
        <v>72147</v>
      </c>
      <c r="H179">
        <v>4</v>
      </c>
      <c r="I179">
        <v>14</v>
      </c>
      <c r="J179">
        <v>3</v>
      </c>
      <c r="K179">
        <v>2</v>
      </c>
      <c r="L179">
        <v>3</v>
      </c>
      <c r="M179" t="s">
        <v>17</v>
      </c>
    </row>
    <row r="180" spans="1:13" x14ac:dyDescent="0.3">
      <c r="A180" t="s">
        <v>220</v>
      </c>
      <c r="B180" t="s">
        <v>28</v>
      </c>
      <c r="C180" t="s">
        <v>46</v>
      </c>
      <c r="D180" t="s">
        <v>30</v>
      </c>
      <c r="E180">
        <v>49</v>
      </c>
      <c r="F180">
        <v>10</v>
      </c>
      <c r="G180">
        <v>65653</v>
      </c>
      <c r="H180">
        <v>3</v>
      </c>
      <c r="I180">
        <v>18</v>
      </c>
      <c r="J180">
        <v>1</v>
      </c>
      <c r="K180">
        <v>4</v>
      </c>
      <c r="L180">
        <v>3</v>
      </c>
      <c r="M180" t="s">
        <v>17</v>
      </c>
    </row>
    <row r="181" spans="1:13" x14ac:dyDescent="0.3">
      <c r="A181" t="s">
        <v>221</v>
      </c>
      <c r="B181" t="s">
        <v>24</v>
      </c>
      <c r="C181" t="s">
        <v>25</v>
      </c>
      <c r="D181" t="s">
        <v>16</v>
      </c>
      <c r="E181">
        <v>24</v>
      </c>
      <c r="F181">
        <v>14</v>
      </c>
      <c r="G181">
        <v>47608</v>
      </c>
      <c r="H181">
        <v>3</v>
      </c>
      <c r="I181">
        <v>13</v>
      </c>
      <c r="J181">
        <v>8</v>
      </c>
      <c r="K181">
        <v>5</v>
      </c>
      <c r="L181">
        <v>3</v>
      </c>
      <c r="M181" t="s">
        <v>17</v>
      </c>
    </row>
    <row r="182" spans="1:13" x14ac:dyDescent="0.3">
      <c r="A182" t="s">
        <v>222</v>
      </c>
      <c r="B182" t="s">
        <v>35</v>
      </c>
      <c r="C182" t="s">
        <v>41</v>
      </c>
      <c r="D182" t="s">
        <v>16</v>
      </c>
      <c r="E182">
        <v>50</v>
      </c>
      <c r="F182">
        <v>0</v>
      </c>
      <c r="G182">
        <v>35868</v>
      </c>
      <c r="H182">
        <v>1</v>
      </c>
      <c r="I182">
        <v>50</v>
      </c>
      <c r="J182">
        <v>6</v>
      </c>
      <c r="K182">
        <v>2</v>
      </c>
      <c r="L182">
        <v>3</v>
      </c>
      <c r="M182" t="s">
        <v>17</v>
      </c>
    </row>
    <row r="183" spans="1:13" x14ac:dyDescent="0.3">
      <c r="A183" t="s">
        <v>223</v>
      </c>
      <c r="B183" t="s">
        <v>35</v>
      </c>
      <c r="C183" t="s">
        <v>88</v>
      </c>
      <c r="D183" t="s">
        <v>30</v>
      </c>
      <c r="E183">
        <v>50</v>
      </c>
      <c r="F183">
        <v>10</v>
      </c>
      <c r="G183">
        <v>45403</v>
      </c>
      <c r="H183">
        <v>2</v>
      </c>
      <c r="I183">
        <v>48</v>
      </c>
      <c r="J183">
        <v>2</v>
      </c>
      <c r="K183">
        <v>2</v>
      </c>
      <c r="L183">
        <v>5</v>
      </c>
      <c r="M183" t="s">
        <v>33</v>
      </c>
    </row>
    <row r="184" spans="1:13" x14ac:dyDescent="0.3">
      <c r="A184" t="s">
        <v>224</v>
      </c>
      <c r="B184" t="s">
        <v>28</v>
      </c>
      <c r="C184" t="s">
        <v>61</v>
      </c>
      <c r="D184" t="s">
        <v>16</v>
      </c>
      <c r="E184">
        <v>43</v>
      </c>
      <c r="F184">
        <v>15</v>
      </c>
      <c r="G184">
        <v>37064</v>
      </c>
      <c r="H184">
        <v>1</v>
      </c>
      <c r="I184">
        <v>41</v>
      </c>
      <c r="J184">
        <v>2</v>
      </c>
      <c r="K184">
        <v>2</v>
      </c>
      <c r="L184">
        <v>3</v>
      </c>
      <c r="M184" t="s">
        <v>33</v>
      </c>
    </row>
    <row r="185" spans="1:13" x14ac:dyDescent="0.3">
      <c r="A185" t="s">
        <v>225</v>
      </c>
      <c r="B185" t="s">
        <v>14</v>
      </c>
      <c r="C185" t="s">
        <v>49</v>
      </c>
      <c r="D185" t="s">
        <v>30</v>
      </c>
      <c r="E185">
        <v>37</v>
      </c>
      <c r="F185">
        <v>1</v>
      </c>
      <c r="G185">
        <v>51013</v>
      </c>
      <c r="H185">
        <v>4</v>
      </c>
      <c r="I185">
        <v>19</v>
      </c>
      <c r="J185">
        <v>7</v>
      </c>
      <c r="K185">
        <v>1</v>
      </c>
      <c r="L185">
        <v>4</v>
      </c>
      <c r="M185" t="s">
        <v>17</v>
      </c>
    </row>
    <row r="186" spans="1:13" x14ac:dyDescent="0.3">
      <c r="A186" t="s">
        <v>226</v>
      </c>
      <c r="B186" t="s">
        <v>19</v>
      </c>
      <c r="C186" t="s">
        <v>32</v>
      </c>
      <c r="D186" t="s">
        <v>16</v>
      </c>
      <c r="E186">
        <v>41</v>
      </c>
      <c r="F186">
        <v>4</v>
      </c>
      <c r="G186">
        <v>33855</v>
      </c>
      <c r="H186">
        <v>3</v>
      </c>
      <c r="I186">
        <v>53</v>
      </c>
      <c r="J186">
        <v>12</v>
      </c>
      <c r="K186">
        <v>5</v>
      </c>
      <c r="L186">
        <v>2</v>
      </c>
      <c r="M186" t="s">
        <v>17</v>
      </c>
    </row>
    <row r="187" spans="1:13" x14ac:dyDescent="0.3">
      <c r="A187" t="s">
        <v>227</v>
      </c>
      <c r="B187" t="s">
        <v>14</v>
      </c>
      <c r="C187" t="s">
        <v>38</v>
      </c>
      <c r="D187" t="s">
        <v>16</v>
      </c>
      <c r="E187">
        <v>39</v>
      </c>
      <c r="F187">
        <v>12</v>
      </c>
      <c r="G187">
        <v>72681</v>
      </c>
      <c r="H187">
        <v>4</v>
      </c>
      <c r="I187">
        <v>32</v>
      </c>
      <c r="J187">
        <v>9</v>
      </c>
      <c r="K187">
        <v>1</v>
      </c>
      <c r="L187">
        <v>4</v>
      </c>
      <c r="M187" t="s">
        <v>17</v>
      </c>
    </row>
    <row r="188" spans="1:13" x14ac:dyDescent="0.3">
      <c r="A188" t="s">
        <v>228</v>
      </c>
      <c r="B188" t="s">
        <v>35</v>
      </c>
      <c r="C188" t="s">
        <v>83</v>
      </c>
      <c r="D188" t="s">
        <v>16</v>
      </c>
      <c r="E188">
        <v>36</v>
      </c>
      <c r="F188">
        <v>14</v>
      </c>
      <c r="G188">
        <v>67686</v>
      </c>
      <c r="H188">
        <v>1</v>
      </c>
      <c r="I188">
        <v>38</v>
      </c>
      <c r="J188">
        <v>4</v>
      </c>
      <c r="K188">
        <v>4</v>
      </c>
      <c r="L188">
        <v>3</v>
      </c>
      <c r="M188" t="s">
        <v>17</v>
      </c>
    </row>
    <row r="189" spans="1:13" x14ac:dyDescent="0.3">
      <c r="A189" t="s">
        <v>229</v>
      </c>
      <c r="B189" t="s">
        <v>24</v>
      </c>
      <c r="C189" t="s">
        <v>25</v>
      </c>
      <c r="D189" t="s">
        <v>30</v>
      </c>
      <c r="E189">
        <v>38</v>
      </c>
      <c r="F189">
        <v>14</v>
      </c>
      <c r="G189">
        <v>54635</v>
      </c>
      <c r="H189">
        <v>3</v>
      </c>
      <c r="I189">
        <v>14</v>
      </c>
      <c r="J189">
        <v>6</v>
      </c>
      <c r="K189">
        <v>5</v>
      </c>
      <c r="L189">
        <v>4</v>
      </c>
      <c r="M189" t="s">
        <v>17</v>
      </c>
    </row>
    <row r="190" spans="1:13" x14ac:dyDescent="0.3">
      <c r="A190" t="s">
        <v>230</v>
      </c>
      <c r="B190" t="s">
        <v>28</v>
      </c>
      <c r="C190" t="s">
        <v>61</v>
      </c>
      <c r="D190" t="s">
        <v>30</v>
      </c>
      <c r="E190">
        <v>30</v>
      </c>
      <c r="F190">
        <v>2</v>
      </c>
      <c r="G190">
        <v>85817</v>
      </c>
      <c r="H190">
        <v>4</v>
      </c>
      <c r="I190">
        <v>59</v>
      </c>
      <c r="J190">
        <v>5</v>
      </c>
      <c r="K190">
        <v>1</v>
      </c>
      <c r="L190">
        <v>3</v>
      </c>
      <c r="M190" t="s">
        <v>17</v>
      </c>
    </row>
    <row r="191" spans="1:13" x14ac:dyDescent="0.3">
      <c r="A191" t="s">
        <v>231</v>
      </c>
      <c r="B191" t="s">
        <v>24</v>
      </c>
      <c r="C191" t="s">
        <v>65</v>
      </c>
      <c r="D191" t="s">
        <v>30</v>
      </c>
      <c r="E191">
        <v>28</v>
      </c>
      <c r="F191">
        <v>13</v>
      </c>
      <c r="G191">
        <v>83112</v>
      </c>
      <c r="H191">
        <v>4</v>
      </c>
      <c r="I191">
        <v>24</v>
      </c>
      <c r="J191">
        <v>1</v>
      </c>
      <c r="K191">
        <v>2</v>
      </c>
      <c r="L191">
        <v>1</v>
      </c>
      <c r="M191" t="s">
        <v>17</v>
      </c>
    </row>
    <row r="192" spans="1:13" x14ac:dyDescent="0.3">
      <c r="A192" t="s">
        <v>232</v>
      </c>
      <c r="B192" t="s">
        <v>19</v>
      </c>
      <c r="C192" t="s">
        <v>32</v>
      </c>
      <c r="D192" t="s">
        <v>16</v>
      </c>
      <c r="E192">
        <v>50</v>
      </c>
      <c r="F192">
        <v>3</v>
      </c>
      <c r="G192">
        <v>39512</v>
      </c>
      <c r="H192">
        <v>5</v>
      </c>
      <c r="I192">
        <v>43</v>
      </c>
      <c r="J192">
        <v>1</v>
      </c>
      <c r="K192">
        <v>4</v>
      </c>
      <c r="L192">
        <v>4</v>
      </c>
      <c r="M192" t="s">
        <v>17</v>
      </c>
    </row>
    <row r="193" spans="1:13" x14ac:dyDescent="0.3">
      <c r="A193" t="s">
        <v>233</v>
      </c>
      <c r="B193" t="s">
        <v>24</v>
      </c>
      <c r="C193" t="s">
        <v>52</v>
      </c>
      <c r="D193" t="s">
        <v>16</v>
      </c>
      <c r="E193">
        <v>28</v>
      </c>
      <c r="F193">
        <v>3</v>
      </c>
      <c r="G193">
        <v>64900</v>
      </c>
      <c r="H193">
        <v>5</v>
      </c>
      <c r="I193">
        <v>5</v>
      </c>
      <c r="J193">
        <v>9</v>
      </c>
      <c r="K193">
        <v>4</v>
      </c>
      <c r="L193">
        <v>4</v>
      </c>
      <c r="M193" t="s">
        <v>17</v>
      </c>
    </row>
    <row r="194" spans="1:13" x14ac:dyDescent="0.3">
      <c r="A194" t="s">
        <v>234</v>
      </c>
      <c r="B194" t="s">
        <v>28</v>
      </c>
      <c r="C194" t="s">
        <v>29</v>
      </c>
      <c r="D194" t="s">
        <v>16</v>
      </c>
      <c r="E194">
        <v>30</v>
      </c>
      <c r="F194">
        <v>2</v>
      </c>
      <c r="G194">
        <v>86952</v>
      </c>
      <c r="H194">
        <v>1</v>
      </c>
      <c r="I194">
        <v>35</v>
      </c>
      <c r="J194">
        <v>7</v>
      </c>
      <c r="K194">
        <v>3</v>
      </c>
      <c r="L194">
        <v>3</v>
      </c>
      <c r="M194" t="s">
        <v>17</v>
      </c>
    </row>
    <row r="195" spans="1:13" x14ac:dyDescent="0.3">
      <c r="A195" t="s">
        <v>235</v>
      </c>
      <c r="B195" t="s">
        <v>35</v>
      </c>
      <c r="C195" t="s">
        <v>41</v>
      </c>
      <c r="D195" t="s">
        <v>16</v>
      </c>
      <c r="E195">
        <v>43</v>
      </c>
      <c r="F195">
        <v>15</v>
      </c>
      <c r="G195">
        <v>51643</v>
      </c>
      <c r="H195">
        <v>4</v>
      </c>
      <c r="I195">
        <v>56</v>
      </c>
      <c r="J195">
        <v>6</v>
      </c>
      <c r="K195">
        <v>4</v>
      </c>
      <c r="L195">
        <v>3</v>
      </c>
      <c r="M195" t="s">
        <v>33</v>
      </c>
    </row>
    <row r="196" spans="1:13" x14ac:dyDescent="0.3">
      <c r="A196" t="s">
        <v>236</v>
      </c>
      <c r="B196" t="s">
        <v>28</v>
      </c>
      <c r="C196" t="s">
        <v>61</v>
      </c>
      <c r="D196" t="s">
        <v>16</v>
      </c>
      <c r="E196">
        <v>30</v>
      </c>
      <c r="F196">
        <v>14</v>
      </c>
      <c r="G196">
        <v>52558</v>
      </c>
      <c r="H196">
        <v>4</v>
      </c>
      <c r="I196">
        <v>59</v>
      </c>
      <c r="J196">
        <v>6</v>
      </c>
      <c r="K196">
        <v>3</v>
      </c>
      <c r="L196">
        <v>4</v>
      </c>
      <c r="M196" t="s">
        <v>33</v>
      </c>
    </row>
    <row r="197" spans="1:13" x14ac:dyDescent="0.3">
      <c r="A197" t="s">
        <v>237</v>
      </c>
      <c r="B197" t="s">
        <v>24</v>
      </c>
      <c r="C197" t="s">
        <v>65</v>
      </c>
      <c r="D197" t="s">
        <v>30</v>
      </c>
      <c r="E197">
        <v>50</v>
      </c>
      <c r="F197">
        <v>4</v>
      </c>
      <c r="G197">
        <v>46577</v>
      </c>
      <c r="H197">
        <v>5</v>
      </c>
      <c r="I197">
        <v>19</v>
      </c>
      <c r="J197">
        <v>2</v>
      </c>
      <c r="K197">
        <v>2</v>
      </c>
      <c r="L197">
        <v>2</v>
      </c>
      <c r="M197" t="s">
        <v>17</v>
      </c>
    </row>
    <row r="198" spans="1:13" x14ac:dyDescent="0.3">
      <c r="A198" t="s">
        <v>238</v>
      </c>
      <c r="B198" t="s">
        <v>14</v>
      </c>
      <c r="C198" t="s">
        <v>38</v>
      </c>
      <c r="D198" t="s">
        <v>30</v>
      </c>
      <c r="E198">
        <v>42</v>
      </c>
      <c r="F198">
        <v>0</v>
      </c>
      <c r="G198">
        <v>55174</v>
      </c>
      <c r="H198">
        <v>5</v>
      </c>
      <c r="I198">
        <v>60</v>
      </c>
      <c r="J198">
        <v>6</v>
      </c>
      <c r="K198">
        <v>2</v>
      </c>
      <c r="L198">
        <v>1</v>
      </c>
      <c r="M198" t="s">
        <v>17</v>
      </c>
    </row>
    <row r="199" spans="1:13" x14ac:dyDescent="0.3">
      <c r="A199" t="s">
        <v>239</v>
      </c>
      <c r="B199" t="s">
        <v>19</v>
      </c>
      <c r="C199" t="s">
        <v>20</v>
      </c>
      <c r="D199" t="s">
        <v>30</v>
      </c>
      <c r="E199">
        <v>31</v>
      </c>
      <c r="F199">
        <v>1</v>
      </c>
      <c r="G199">
        <v>36572</v>
      </c>
      <c r="H199">
        <v>5</v>
      </c>
      <c r="I199">
        <v>5</v>
      </c>
      <c r="J199">
        <v>12</v>
      </c>
      <c r="K199">
        <v>1</v>
      </c>
      <c r="L199">
        <v>2</v>
      </c>
      <c r="M199" t="s">
        <v>17</v>
      </c>
    </row>
    <row r="200" spans="1:13" x14ac:dyDescent="0.3">
      <c r="A200" t="s">
        <v>240</v>
      </c>
      <c r="B200" t="s">
        <v>28</v>
      </c>
      <c r="C200" t="s">
        <v>29</v>
      </c>
      <c r="D200" t="s">
        <v>16</v>
      </c>
      <c r="E200">
        <v>26</v>
      </c>
      <c r="F200">
        <v>14</v>
      </c>
      <c r="G200">
        <v>80806</v>
      </c>
      <c r="H200">
        <v>5</v>
      </c>
      <c r="I200">
        <v>20</v>
      </c>
      <c r="J200">
        <v>9</v>
      </c>
      <c r="K200">
        <v>5</v>
      </c>
      <c r="L200">
        <v>2</v>
      </c>
      <c r="M200" t="s">
        <v>17</v>
      </c>
    </row>
    <row r="201" spans="1:13" x14ac:dyDescent="0.3">
      <c r="A201" t="s">
        <v>241</v>
      </c>
      <c r="B201" t="s">
        <v>19</v>
      </c>
      <c r="C201" t="s">
        <v>22</v>
      </c>
      <c r="D201" t="s">
        <v>30</v>
      </c>
      <c r="E201">
        <v>35</v>
      </c>
      <c r="F201">
        <v>7</v>
      </c>
      <c r="G201">
        <v>53614</v>
      </c>
      <c r="H201">
        <v>4</v>
      </c>
      <c r="I201">
        <v>19</v>
      </c>
      <c r="J201">
        <v>7</v>
      </c>
      <c r="K201">
        <v>5</v>
      </c>
      <c r="L201">
        <v>2</v>
      </c>
      <c r="M201"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D06A1-9859-4160-B149-29366B675D8C}">
  <dimension ref="A1:M203"/>
  <sheetViews>
    <sheetView topLeftCell="A177" workbookViewId="0">
      <selection activeCell="H203" sqref="H203"/>
    </sheetView>
  </sheetViews>
  <sheetFormatPr defaultRowHeight="14.4" x14ac:dyDescent="0.3"/>
  <cols>
    <col min="1" max="2" width="13.33203125" bestFit="1" customWidth="1"/>
    <col min="3" max="3" width="18.44140625" bestFit="1" customWidth="1"/>
    <col min="4" max="4" width="9.33203125" bestFit="1" customWidth="1"/>
    <col min="5" max="5" width="6.44140625" bestFit="1" customWidth="1"/>
    <col min="6" max="6" width="17.77734375" bestFit="1" customWidth="1"/>
    <col min="7" max="7" width="15.6640625" bestFit="1" customWidth="1"/>
    <col min="8" max="8" width="19.6640625" bestFit="1" customWidth="1"/>
    <col min="9" max="9" width="14.88671875" bestFit="1" customWidth="1"/>
    <col min="10" max="10" width="19.44140625" bestFit="1" customWidth="1"/>
    <col min="11" max="11" width="17.44140625" bestFit="1" customWidth="1"/>
    <col min="12" max="12" width="16" bestFit="1" customWidth="1"/>
    <col min="13" max="13" width="10.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v>32</v>
      </c>
      <c r="F2">
        <v>12</v>
      </c>
      <c r="G2">
        <v>36227</v>
      </c>
      <c r="H2">
        <v>1</v>
      </c>
      <c r="I2">
        <v>53</v>
      </c>
      <c r="J2">
        <v>1</v>
      </c>
      <c r="K2">
        <v>2</v>
      </c>
      <c r="L2">
        <v>1</v>
      </c>
      <c r="M2" t="s">
        <v>17</v>
      </c>
    </row>
    <row r="3" spans="1:13" x14ac:dyDescent="0.3">
      <c r="A3" t="s">
        <v>18</v>
      </c>
      <c r="B3" t="s">
        <v>19</v>
      </c>
      <c r="C3" t="s">
        <v>20</v>
      </c>
      <c r="D3" t="s">
        <v>16</v>
      </c>
      <c r="E3">
        <v>24</v>
      </c>
      <c r="F3">
        <v>7</v>
      </c>
      <c r="G3">
        <v>66081</v>
      </c>
      <c r="H3">
        <v>5</v>
      </c>
      <c r="I3">
        <v>25</v>
      </c>
      <c r="J3">
        <v>1</v>
      </c>
      <c r="K3">
        <v>4</v>
      </c>
      <c r="L3">
        <v>2</v>
      </c>
      <c r="M3" t="s">
        <v>17</v>
      </c>
    </row>
    <row r="4" spans="1:13" x14ac:dyDescent="0.3">
      <c r="A4" t="s">
        <v>21</v>
      </c>
      <c r="B4" t="s">
        <v>19</v>
      </c>
      <c r="C4" t="s">
        <v>22</v>
      </c>
      <c r="D4" t="s">
        <v>16</v>
      </c>
      <c r="E4">
        <v>44</v>
      </c>
      <c r="F4">
        <v>10</v>
      </c>
      <c r="G4">
        <v>44476</v>
      </c>
      <c r="H4">
        <v>2</v>
      </c>
      <c r="I4">
        <v>28</v>
      </c>
      <c r="J4">
        <v>4</v>
      </c>
      <c r="K4">
        <v>4</v>
      </c>
      <c r="L4">
        <v>4</v>
      </c>
      <c r="M4" t="s">
        <v>17</v>
      </c>
    </row>
    <row r="5" spans="1:13" x14ac:dyDescent="0.3">
      <c r="A5" t="s">
        <v>23</v>
      </c>
      <c r="B5" t="s">
        <v>24</v>
      </c>
      <c r="C5" t="s">
        <v>25</v>
      </c>
      <c r="D5" t="s">
        <v>16</v>
      </c>
      <c r="E5">
        <v>36</v>
      </c>
      <c r="F5">
        <v>9</v>
      </c>
      <c r="G5">
        <v>81575</v>
      </c>
      <c r="H5">
        <v>4</v>
      </c>
      <c r="I5">
        <v>24</v>
      </c>
      <c r="J5">
        <v>4</v>
      </c>
      <c r="K5">
        <v>3</v>
      </c>
      <c r="L5">
        <v>4</v>
      </c>
      <c r="M5" t="s">
        <v>17</v>
      </c>
    </row>
    <row r="6" spans="1:13" x14ac:dyDescent="0.3">
      <c r="A6" t="s">
        <v>26</v>
      </c>
      <c r="B6" t="s">
        <v>19</v>
      </c>
      <c r="C6" t="s">
        <v>22</v>
      </c>
      <c r="D6" t="s">
        <v>16</v>
      </c>
      <c r="E6">
        <v>22</v>
      </c>
      <c r="F6">
        <v>4</v>
      </c>
      <c r="G6">
        <v>46791</v>
      </c>
      <c r="H6">
        <v>4</v>
      </c>
      <c r="I6">
        <v>26</v>
      </c>
      <c r="J6">
        <v>11</v>
      </c>
      <c r="K6">
        <v>3</v>
      </c>
      <c r="L6">
        <v>5</v>
      </c>
      <c r="M6" t="s">
        <v>17</v>
      </c>
    </row>
    <row r="7" spans="1:13" x14ac:dyDescent="0.3">
      <c r="A7" t="s">
        <v>27</v>
      </c>
      <c r="B7" t="s">
        <v>28</v>
      </c>
      <c r="C7" t="s">
        <v>29</v>
      </c>
      <c r="D7" t="s">
        <v>30</v>
      </c>
      <c r="E7">
        <v>24</v>
      </c>
      <c r="F7">
        <v>12</v>
      </c>
      <c r="G7">
        <v>48241</v>
      </c>
      <c r="H7">
        <v>4</v>
      </c>
      <c r="I7">
        <v>10</v>
      </c>
      <c r="J7">
        <v>2</v>
      </c>
      <c r="K7">
        <v>3</v>
      </c>
      <c r="L7">
        <v>5</v>
      </c>
      <c r="M7" t="s">
        <v>17</v>
      </c>
    </row>
    <row r="8" spans="1:13" x14ac:dyDescent="0.3">
      <c r="A8" t="s">
        <v>31</v>
      </c>
      <c r="B8" t="s">
        <v>19</v>
      </c>
      <c r="C8" t="s">
        <v>32</v>
      </c>
      <c r="D8" t="s">
        <v>16</v>
      </c>
      <c r="E8">
        <v>49</v>
      </c>
      <c r="F8">
        <v>7</v>
      </c>
      <c r="G8">
        <v>41002</v>
      </c>
      <c r="H8">
        <v>4</v>
      </c>
      <c r="I8">
        <v>13</v>
      </c>
      <c r="J8">
        <v>5</v>
      </c>
      <c r="K8">
        <v>5</v>
      </c>
      <c r="L8">
        <v>3</v>
      </c>
      <c r="M8" t="s">
        <v>33</v>
      </c>
    </row>
    <row r="9" spans="1:13" x14ac:dyDescent="0.3">
      <c r="A9" t="s">
        <v>34</v>
      </c>
      <c r="B9" t="s">
        <v>35</v>
      </c>
      <c r="C9" t="s">
        <v>36</v>
      </c>
      <c r="D9" t="s">
        <v>16</v>
      </c>
      <c r="E9">
        <v>25</v>
      </c>
      <c r="F9">
        <v>10</v>
      </c>
      <c r="G9">
        <v>83214</v>
      </c>
      <c r="H9">
        <v>3</v>
      </c>
      <c r="I9">
        <v>8</v>
      </c>
      <c r="J9">
        <v>12</v>
      </c>
      <c r="K9">
        <v>2</v>
      </c>
      <c r="L9">
        <v>3</v>
      </c>
      <c r="M9" t="s">
        <v>17</v>
      </c>
    </row>
    <row r="10" spans="1:13" x14ac:dyDescent="0.3">
      <c r="A10" t="s">
        <v>37</v>
      </c>
      <c r="B10" t="s">
        <v>14</v>
      </c>
      <c r="C10" t="s">
        <v>38</v>
      </c>
      <c r="D10" t="s">
        <v>16</v>
      </c>
      <c r="E10">
        <v>33</v>
      </c>
      <c r="F10">
        <v>10</v>
      </c>
      <c r="G10">
        <v>85981</v>
      </c>
      <c r="H10">
        <v>3</v>
      </c>
      <c r="I10">
        <v>7</v>
      </c>
      <c r="J10">
        <v>9</v>
      </c>
      <c r="K10">
        <v>2</v>
      </c>
      <c r="L10">
        <v>2</v>
      </c>
      <c r="M10" t="s">
        <v>17</v>
      </c>
    </row>
    <row r="11" spans="1:13" x14ac:dyDescent="0.3">
      <c r="A11" t="s">
        <v>39</v>
      </c>
      <c r="B11" t="s">
        <v>19</v>
      </c>
      <c r="C11" t="s">
        <v>32</v>
      </c>
      <c r="D11" t="s">
        <v>16</v>
      </c>
      <c r="E11">
        <v>45</v>
      </c>
      <c r="F11">
        <v>15</v>
      </c>
      <c r="G11">
        <v>84674</v>
      </c>
      <c r="H11">
        <v>4</v>
      </c>
      <c r="I11">
        <v>39</v>
      </c>
      <c r="J11">
        <v>11</v>
      </c>
      <c r="K11">
        <v>4</v>
      </c>
      <c r="L11">
        <v>5</v>
      </c>
      <c r="M11" t="s">
        <v>17</v>
      </c>
    </row>
    <row r="12" spans="1:13" x14ac:dyDescent="0.3">
      <c r="A12" t="s">
        <v>40</v>
      </c>
      <c r="B12" t="s">
        <v>35</v>
      </c>
      <c r="C12" t="s">
        <v>41</v>
      </c>
      <c r="D12" t="s">
        <v>30</v>
      </c>
      <c r="E12">
        <v>46</v>
      </c>
      <c r="F12">
        <v>2</v>
      </c>
      <c r="G12">
        <v>57506</v>
      </c>
      <c r="H12">
        <v>4</v>
      </c>
      <c r="I12">
        <v>27</v>
      </c>
      <c r="J12">
        <v>7</v>
      </c>
      <c r="K12">
        <v>4</v>
      </c>
      <c r="L12">
        <v>5</v>
      </c>
      <c r="M12" t="s">
        <v>17</v>
      </c>
    </row>
    <row r="13" spans="1:13" x14ac:dyDescent="0.3">
      <c r="A13" t="s">
        <v>42</v>
      </c>
      <c r="B13" t="s">
        <v>43</v>
      </c>
      <c r="C13" t="s">
        <v>44</v>
      </c>
      <c r="D13" t="s">
        <v>30</v>
      </c>
      <c r="E13">
        <v>27</v>
      </c>
      <c r="F13">
        <v>15</v>
      </c>
      <c r="G13">
        <v>83439</v>
      </c>
      <c r="H13">
        <v>1</v>
      </c>
      <c r="I13">
        <v>47</v>
      </c>
      <c r="J13">
        <v>3</v>
      </c>
      <c r="K13">
        <v>3</v>
      </c>
      <c r="L13">
        <v>4</v>
      </c>
      <c r="M13" t="s">
        <v>17</v>
      </c>
    </row>
    <row r="14" spans="1:13" x14ac:dyDescent="0.3">
      <c r="A14" t="s">
        <v>45</v>
      </c>
      <c r="B14" t="s">
        <v>28</v>
      </c>
      <c r="C14" t="s">
        <v>46</v>
      </c>
      <c r="D14" t="s">
        <v>30</v>
      </c>
      <c r="E14">
        <v>45</v>
      </c>
      <c r="F14">
        <v>6</v>
      </c>
      <c r="G14">
        <v>39851</v>
      </c>
      <c r="H14">
        <v>5</v>
      </c>
      <c r="I14">
        <v>38</v>
      </c>
      <c r="J14">
        <v>4</v>
      </c>
      <c r="K14">
        <v>3</v>
      </c>
      <c r="L14">
        <v>5</v>
      </c>
      <c r="M14" t="s">
        <v>17</v>
      </c>
    </row>
    <row r="15" spans="1:13" x14ac:dyDescent="0.3">
      <c r="A15" t="s">
        <v>47</v>
      </c>
      <c r="B15" t="s">
        <v>28</v>
      </c>
      <c r="C15" t="s">
        <v>46</v>
      </c>
      <c r="D15" t="s">
        <v>16</v>
      </c>
      <c r="E15">
        <v>42</v>
      </c>
      <c r="F15">
        <v>14</v>
      </c>
      <c r="G15">
        <v>42361</v>
      </c>
      <c r="H15">
        <v>1</v>
      </c>
      <c r="I15">
        <v>56</v>
      </c>
      <c r="J15">
        <v>10</v>
      </c>
      <c r="K15">
        <v>1</v>
      </c>
      <c r="L15">
        <v>2</v>
      </c>
      <c r="M15" t="s">
        <v>17</v>
      </c>
    </row>
    <row r="16" spans="1:13" x14ac:dyDescent="0.3">
      <c r="A16" t="s">
        <v>48</v>
      </c>
      <c r="B16" t="s">
        <v>14</v>
      </c>
      <c r="C16" t="s">
        <v>49</v>
      </c>
      <c r="D16" t="s">
        <v>16</v>
      </c>
      <c r="E16">
        <v>29</v>
      </c>
      <c r="F16">
        <v>0</v>
      </c>
      <c r="G16">
        <v>35707</v>
      </c>
      <c r="H16">
        <v>2</v>
      </c>
      <c r="I16">
        <v>50</v>
      </c>
      <c r="J16">
        <v>8</v>
      </c>
      <c r="K16">
        <v>4</v>
      </c>
      <c r="L16">
        <v>5</v>
      </c>
      <c r="M16" t="s">
        <v>17</v>
      </c>
    </row>
    <row r="17" spans="1:13" x14ac:dyDescent="0.3">
      <c r="A17" t="s">
        <v>50</v>
      </c>
      <c r="B17" t="s">
        <v>19</v>
      </c>
      <c r="C17" t="s">
        <v>22</v>
      </c>
      <c r="D17" t="s">
        <v>16</v>
      </c>
      <c r="E17">
        <v>29</v>
      </c>
      <c r="F17">
        <v>0</v>
      </c>
      <c r="G17">
        <v>51562</v>
      </c>
      <c r="H17">
        <v>3</v>
      </c>
      <c r="I17">
        <v>13</v>
      </c>
      <c r="J17">
        <v>3</v>
      </c>
      <c r="K17">
        <v>1</v>
      </c>
      <c r="L17">
        <v>3</v>
      </c>
      <c r="M17" t="s">
        <v>33</v>
      </c>
    </row>
    <row r="18" spans="1:13" x14ac:dyDescent="0.3">
      <c r="A18" t="s">
        <v>51</v>
      </c>
      <c r="B18" t="s">
        <v>24</v>
      </c>
      <c r="C18" t="s">
        <v>52</v>
      </c>
      <c r="D18" t="s">
        <v>16</v>
      </c>
      <c r="E18">
        <v>24</v>
      </c>
      <c r="F18">
        <v>3</v>
      </c>
      <c r="G18">
        <v>65392</v>
      </c>
      <c r="H18">
        <v>5</v>
      </c>
      <c r="I18">
        <v>23</v>
      </c>
      <c r="J18">
        <v>6</v>
      </c>
      <c r="K18">
        <v>3</v>
      </c>
      <c r="L18">
        <v>1</v>
      </c>
      <c r="M18" t="s">
        <v>17</v>
      </c>
    </row>
    <row r="19" spans="1:13" x14ac:dyDescent="0.3">
      <c r="A19" t="s">
        <v>53</v>
      </c>
      <c r="B19" t="s">
        <v>14</v>
      </c>
      <c r="C19" t="s">
        <v>15</v>
      </c>
      <c r="D19" t="s">
        <v>30</v>
      </c>
      <c r="E19">
        <v>23</v>
      </c>
      <c r="F19">
        <v>9</v>
      </c>
      <c r="G19">
        <v>56725</v>
      </c>
      <c r="H19">
        <v>1</v>
      </c>
      <c r="I19">
        <v>49</v>
      </c>
      <c r="J19">
        <v>4</v>
      </c>
      <c r="K19">
        <v>2</v>
      </c>
      <c r="L19">
        <v>3</v>
      </c>
      <c r="M19" t="s">
        <v>33</v>
      </c>
    </row>
    <row r="20" spans="1:13" x14ac:dyDescent="0.3">
      <c r="A20" t="s">
        <v>54</v>
      </c>
      <c r="B20" t="s">
        <v>19</v>
      </c>
      <c r="C20" t="s">
        <v>22</v>
      </c>
      <c r="D20" t="s">
        <v>16</v>
      </c>
      <c r="E20">
        <v>32</v>
      </c>
      <c r="F20">
        <v>11</v>
      </c>
      <c r="G20">
        <v>82260</v>
      </c>
      <c r="H20">
        <v>5</v>
      </c>
      <c r="I20">
        <v>17</v>
      </c>
      <c r="J20">
        <v>10</v>
      </c>
      <c r="K20">
        <v>3</v>
      </c>
      <c r="L20">
        <v>5</v>
      </c>
      <c r="M20" t="s">
        <v>33</v>
      </c>
    </row>
    <row r="21" spans="1:13" x14ac:dyDescent="0.3">
      <c r="A21" t="s">
        <v>55</v>
      </c>
      <c r="B21" t="s">
        <v>19</v>
      </c>
      <c r="C21" t="s">
        <v>32</v>
      </c>
      <c r="D21" t="s">
        <v>30</v>
      </c>
      <c r="E21">
        <v>50</v>
      </c>
      <c r="F21">
        <v>7</v>
      </c>
      <c r="G21">
        <v>59225</v>
      </c>
      <c r="H21">
        <v>5</v>
      </c>
      <c r="I21">
        <v>26</v>
      </c>
      <c r="J21">
        <v>4</v>
      </c>
      <c r="K21">
        <v>2</v>
      </c>
      <c r="L21">
        <v>2</v>
      </c>
      <c r="M21" t="s">
        <v>17</v>
      </c>
    </row>
    <row r="22" spans="1:13" x14ac:dyDescent="0.3">
      <c r="A22" t="s">
        <v>56</v>
      </c>
      <c r="B22" t="s">
        <v>35</v>
      </c>
      <c r="C22" t="s">
        <v>36</v>
      </c>
      <c r="D22" t="s">
        <v>30</v>
      </c>
      <c r="E22">
        <v>25</v>
      </c>
      <c r="F22">
        <v>2</v>
      </c>
      <c r="G22">
        <v>55964</v>
      </c>
      <c r="H22">
        <v>3</v>
      </c>
      <c r="I22">
        <v>45</v>
      </c>
      <c r="J22">
        <v>10</v>
      </c>
      <c r="K22">
        <v>5</v>
      </c>
      <c r="L22">
        <v>3</v>
      </c>
      <c r="M22" t="s">
        <v>17</v>
      </c>
    </row>
    <row r="23" spans="1:13" x14ac:dyDescent="0.3">
      <c r="A23" t="s">
        <v>57</v>
      </c>
      <c r="B23" t="s">
        <v>43</v>
      </c>
      <c r="C23" t="s">
        <v>44</v>
      </c>
      <c r="D23" t="s">
        <v>30</v>
      </c>
      <c r="E23">
        <v>38</v>
      </c>
      <c r="F23">
        <v>7</v>
      </c>
      <c r="G23">
        <v>81403</v>
      </c>
      <c r="H23">
        <v>4</v>
      </c>
      <c r="I23">
        <v>57</v>
      </c>
      <c r="J23">
        <v>9</v>
      </c>
      <c r="K23">
        <v>5</v>
      </c>
      <c r="L23">
        <v>5</v>
      </c>
      <c r="M23" t="s">
        <v>17</v>
      </c>
    </row>
    <row r="24" spans="1:13" x14ac:dyDescent="0.3">
      <c r="A24" t="s">
        <v>58</v>
      </c>
      <c r="B24" t="s">
        <v>43</v>
      </c>
      <c r="C24" t="s">
        <v>59</v>
      </c>
      <c r="D24" t="s">
        <v>30</v>
      </c>
      <c r="E24">
        <v>40</v>
      </c>
      <c r="F24">
        <v>5</v>
      </c>
      <c r="G24">
        <v>45363</v>
      </c>
      <c r="H24">
        <v>1</v>
      </c>
      <c r="I24">
        <v>13</v>
      </c>
      <c r="J24">
        <v>3</v>
      </c>
      <c r="K24">
        <v>5</v>
      </c>
      <c r="L24">
        <v>3</v>
      </c>
      <c r="M24" t="s">
        <v>33</v>
      </c>
    </row>
    <row r="25" spans="1:13" x14ac:dyDescent="0.3">
      <c r="A25" t="s">
        <v>60</v>
      </c>
      <c r="B25" t="s">
        <v>28</v>
      </c>
      <c r="C25" t="s">
        <v>61</v>
      </c>
      <c r="D25" t="s">
        <v>16</v>
      </c>
      <c r="E25">
        <v>22</v>
      </c>
      <c r="F25">
        <v>12</v>
      </c>
      <c r="G25">
        <v>88134</v>
      </c>
      <c r="H25">
        <v>1</v>
      </c>
      <c r="I25">
        <v>55</v>
      </c>
      <c r="J25">
        <v>3</v>
      </c>
      <c r="K25">
        <v>3</v>
      </c>
      <c r="L25">
        <v>1</v>
      </c>
      <c r="M25" t="s">
        <v>17</v>
      </c>
    </row>
    <row r="26" spans="1:13" x14ac:dyDescent="0.3">
      <c r="A26" t="s">
        <v>62</v>
      </c>
      <c r="B26" t="s">
        <v>35</v>
      </c>
      <c r="C26" t="s">
        <v>36</v>
      </c>
      <c r="D26" t="s">
        <v>30</v>
      </c>
      <c r="E26">
        <v>23</v>
      </c>
      <c r="F26">
        <v>5</v>
      </c>
      <c r="G26">
        <v>35380</v>
      </c>
      <c r="H26">
        <v>1</v>
      </c>
      <c r="I26">
        <v>25</v>
      </c>
      <c r="J26">
        <v>7</v>
      </c>
      <c r="K26">
        <v>1</v>
      </c>
      <c r="L26">
        <v>4</v>
      </c>
      <c r="M26" t="s">
        <v>17</v>
      </c>
    </row>
    <row r="27" spans="1:13" x14ac:dyDescent="0.3">
      <c r="A27" t="s">
        <v>63</v>
      </c>
      <c r="B27" t="s">
        <v>19</v>
      </c>
      <c r="C27" t="s">
        <v>20</v>
      </c>
      <c r="D27" t="s">
        <v>30</v>
      </c>
      <c r="E27">
        <v>47</v>
      </c>
      <c r="F27">
        <v>8</v>
      </c>
      <c r="G27">
        <v>39681</v>
      </c>
      <c r="H27">
        <v>2</v>
      </c>
      <c r="I27">
        <v>55</v>
      </c>
      <c r="J27">
        <v>2</v>
      </c>
      <c r="K27">
        <v>5</v>
      </c>
      <c r="L27">
        <v>1</v>
      </c>
      <c r="M27" t="s">
        <v>17</v>
      </c>
    </row>
    <row r="28" spans="1:13" x14ac:dyDescent="0.3">
      <c r="A28" t="s">
        <v>64</v>
      </c>
      <c r="B28" t="s">
        <v>24</v>
      </c>
      <c r="C28" t="s">
        <v>65</v>
      </c>
      <c r="D28" t="s">
        <v>16</v>
      </c>
      <c r="E28">
        <v>48</v>
      </c>
      <c r="F28">
        <v>11</v>
      </c>
      <c r="G28">
        <v>53893</v>
      </c>
      <c r="H28">
        <v>1</v>
      </c>
      <c r="I28">
        <v>20</v>
      </c>
      <c r="J28">
        <v>8</v>
      </c>
      <c r="K28">
        <v>2</v>
      </c>
      <c r="L28">
        <v>5</v>
      </c>
      <c r="M28" t="s">
        <v>17</v>
      </c>
    </row>
    <row r="29" spans="1:13" x14ac:dyDescent="0.3">
      <c r="A29" t="s">
        <v>66</v>
      </c>
      <c r="B29" t="s">
        <v>24</v>
      </c>
      <c r="C29" t="s">
        <v>25</v>
      </c>
      <c r="D29" t="s">
        <v>30</v>
      </c>
      <c r="E29">
        <v>37</v>
      </c>
      <c r="F29">
        <v>8</v>
      </c>
      <c r="G29">
        <v>85312</v>
      </c>
      <c r="H29">
        <v>4</v>
      </c>
      <c r="I29">
        <v>38</v>
      </c>
      <c r="J29">
        <v>10</v>
      </c>
      <c r="K29">
        <v>3</v>
      </c>
      <c r="L29">
        <v>2</v>
      </c>
      <c r="M29" t="s">
        <v>33</v>
      </c>
    </row>
    <row r="30" spans="1:13" x14ac:dyDescent="0.3">
      <c r="A30" t="s">
        <v>67</v>
      </c>
      <c r="B30" t="s">
        <v>43</v>
      </c>
      <c r="C30" t="s">
        <v>44</v>
      </c>
      <c r="D30" t="s">
        <v>30</v>
      </c>
      <c r="E30">
        <v>35</v>
      </c>
      <c r="F30">
        <v>0</v>
      </c>
      <c r="G30">
        <v>78653</v>
      </c>
      <c r="H30">
        <v>2</v>
      </c>
      <c r="I30">
        <v>24</v>
      </c>
      <c r="J30">
        <v>7</v>
      </c>
      <c r="K30">
        <v>2</v>
      </c>
      <c r="L30">
        <v>3</v>
      </c>
      <c r="M30" t="s">
        <v>33</v>
      </c>
    </row>
    <row r="31" spans="1:13" x14ac:dyDescent="0.3">
      <c r="A31" t="s">
        <v>68</v>
      </c>
      <c r="B31" t="s">
        <v>14</v>
      </c>
      <c r="C31" t="s">
        <v>49</v>
      </c>
      <c r="D31" t="s">
        <v>30</v>
      </c>
      <c r="E31">
        <v>48</v>
      </c>
      <c r="F31">
        <v>1</v>
      </c>
      <c r="G31">
        <v>75583</v>
      </c>
      <c r="H31">
        <v>1</v>
      </c>
      <c r="I31">
        <v>57</v>
      </c>
      <c r="J31">
        <v>3</v>
      </c>
      <c r="K31">
        <v>5</v>
      </c>
      <c r="L31">
        <v>5</v>
      </c>
      <c r="M31" t="s">
        <v>17</v>
      </c>
    </row>
    <row r="32" spans="1:13" x14ac:dyDescent="0.3">
      <c r="A32" t="s">
        <v>69</v>
      </c>
      <c r="B32" t="s">
        <v>43</v>
      </c>
      <c r="C32" t="s">
        <v>59</v>
      </c>
      <c r="D32" t="s">
        <v>30</v>
      </c>
      <c r="E32">
        <v>40</v>
      </c>
      <c r="F32">
        <v>4</v>
      </c>
      <c r="G32">
        <v>56034</v>
      </c>
      <c r="H32">
        <v>2</v>
      </c>
      <c r="I32">
        <v>32</v>
      </c>
      <c r="J32">
        <v>12</v>
      </c>
      <c r="K32">
        <v>2</v>
      </c>
      <c r="L32">
        <v>2</v>
      </c>
      <c r="M32" t="s">
        <v>33</v>
      </c>
    </row>
    <row r="33" spans="1:13" x14ac:dyDescent="0.3">
      <c r="A33" t="s">
        <v>70</v>
      </c>
      <c r="B33" t="s">
        <v>24</v>
      </c>
      <c r="C33" t="s">
        <v>65</v>
      </c>
      <c r="D33" t="s">
        <v>30</v>
      </c>
      <c r="E33">
        <v>44</v>
      </c>
      <c r="F33">
        <v>13</v>
      </c>
      <c r="G33">
        <v>45369</v>
      </c>
      <c r="H33">
        <v>1</v>
      </c>
      <c r="I33">
        <v>37</v>
      </c>
      <c r="J33">
        <v>6</v>
      </c>
      <c r="K33">
        <v>3</v>
      </c>
      <c r="L33">
        <v>5</v>
      </c>
      <c r="M33" t="s">
        <v>17</v>
      </c>
    </row>
    <row r="34" spans="1:13" x14ac:dyDescent="0.3">
      <c r="A34" t="s">
        <v>71</v>
      </c>
      <c r="B34" t="s">
        <v>43</v>
      </c>
      <c r="C34" t="s">
        <v>72</v>
      </c>
      <c r="D34" t="s">
        <v>30</v>
      </c>
      <c r="E34">
        <v>35</v>
      </c>
      <c r="F34">
        <v>7</v>
      </c>
      <c r="G34">
        <v>82098</v>
      </c>
      <c r="H34">
        <v>4</v>
      </c>
      <c r="I34">
        <v>38</v>
      </c>
      <c r="J34">
        <v>3</v>
      </c>
      <c r="K34">
        <v>5</v>
      </c>
      <c r="L34">
        <v>3</v>
      </c>
      <c r="M34" t="s">
        <v>17</v>
      </c>
    </row>
    <row r="35" spans="1:13" x14ac:dyDescent="0.3">
      <c r="A35" t="s">
        <v>73</v>
      </c>
      <c r="B35" t="s">
        <v>14</v>
      </c>
      <c r="C35" t="s">
        <v>49</v>
      </c>
      <c r="D35" t="s">
        <v>16</v>
      </c>
      <c r="E35">
        <v>22</v>
      </c>
      <c r="F35">
        <v>15</v>
      </c>
      <c r="G35">
        <v>59579</v>
      </c>
      <c r="H35">
        <v>4</v>
      </c>
      <c r="I35">
        <v>52</v>
      </c>
      <c r="J35">
        <v>7</v>
      </c>
      <c r="K35">
        <v>4</v>
      </c>
      <c r="L35">
        <v>4</v>
      </c>
      <c r="M35" t="s">
        <v>17</v>
      </c>
    </row>
    <row r="36" spans="1:13" x14ac:dyDescent="0.3">
      <c r="A36" t="s">
        <v>74</v>
      </c>
      <c r="B36" t="s">
        <v>14</v>
      </c>
      <c r="C36" t="s">
        <v>15</v>
      </c>
      <c r="D36" t="s">
        <v>16</v>
      </c>
      <c r="E36">
        <v>40</v>
      </c>
      <c r="F36">
        <v>1</v>
      </c>
      <c r="G36">
        <v>42538</v>
      </c>
      <c r="H36">
        <v>3</v>
      </c>
      <c r="I36">
        <v>54</v>
      </c>
      <c r="J36">
        <v>3</v>
      </c>
      <c r="K36">
        <v>3</v>
      </c>
      <c r="L36">
        <v>1</v>
      </c>
      <c r="M36" t="s">
        <v>33</v>
      </c>
    </row>
    <row r="37" spans="1:13" x14ac:dyDescent="0.3">
      <c r="A37" t="s">
        <v>75</v>
      </c>
      <c r="B37" t="s">
        <v>14</v>
      </c>
      <c r="C37" t="s">
        <v>38</v>
      </c>
      <c r="D37" t="s">
        <v>30</v>
      </c>
      <c r="E37">
        <v>40</v>
      </c>
      <c r="F37">
        <v>8</v>
      </c>
      <c r="G37">
        <v>66352</v>
      </c>
      <c r="H37">
        <v>4</v>
      </c>
      <c r="I37">
        <v>55</v>
      </c>
      <c r="J37">
        <v>10</v>
      </c>
      <c r="K37">
        <v>1</v>
      </c>
      <c r="L37">
        <v>3</v>
      </c>
      <c r="M37" t="s">
        <v>17</v>
      </c>
    </row>
    <row r="38" spans="1:13" x14ac:dyDescent="0.3">
      <c r="A38" t="s">
        <v>76</v>
      </c>
      <c r="B38" t="s">
        <v>28</v>
      </c>
      <c r="C38" t="s">
        <v>46</v>
      </c>
      <c r="D38" t="s">
        <v>30</v>
      </c>
      <c r="E38">
        <v>34</v>
      </c>
      <c r="F38">
        <v>0</v>
      </c>
      <c r="G38">
        <v>65728</v>
      </c>
      <c r="H38">
        <v>1</v>
      </c>
      <c r="I38">
        <v>54</v>
      </c>
      <c r="J38">
        <v>2</v>
      </c>
      <c r="K38">
        <v>2</v>
      </c>
      <c r="L38">
        <v>2</v>
      </c>
      <c r="M38" t="s">
        <v>17</v>
      </c>
    </row>
    <row r="39" spans="1:13" x14ac:dyDescent="0.3">
      <c r="A39" t="s">
        <v>77</v>
      </c>
      <c r="B39" t="s">
        <v>19</v>
      </c>
      <c r="C39" t="s">
        <v>22</v>
      </c>
      <c r="D39" t="s">
        <v>16</v>
      </c>
      <c r="E39">
        <v>45</v>
      </c>
      <c r="F39">
        <v>10</v>
      </c>
      <c r="G39">
        <v>57950</v>
      </c>
      <c r="H39">
        <v>2</v>
      </c>
      <c r="I39">
        <v>58</v>
      </c>
      <c r="J39">
        <v>4</v>
      </c>
      <c r="K39">
        <v>5</v>
      </c>
      <c r="L39">
        <v>3</v>
      </c>
      <c r="M39" t="s">
        <v>33</v>
      </c>
    </row>
    <row r="40" spans="1:13" x14ac:dyDescent="0.3">
      <c r="A40" t="s">
        <v>78</v>
      </c>
      <c r="B40" t="s">
        <v>43</v>
      </c>
      <c r="C40" t="s">
        <v>72</v>
      </c>
      <c r="D40" t="s">
        <v>16</v>
      </c>
      <c r="E40">
        <v>36</v>
      </c>
      <c r="F40">
        <v>15</v>
      </c>
      <c r="G40">
        <v>34294</v>
      </c>
      <c r="H40">
        <v>5</v>
      </c>
      <c r="I40">
        <v>15</v>
      </c>
      <c r="J40">
        <v>8</v>
      </c>
      <c r="K40">
        <v>4</v>
      </c>
      <c r="L40">
        <v>3</v>
      </c>
      <c r="M40" t="s">
        <v>33</v>
      </c>
    </row>
    <row r="41" spans="1:13" x14ac:dyDescent="0.3">
      <c r="A41" t="s">
        <v>79</v>
      </c>
      <c r="B41" t="s">
        <v>14</v>
      </c>
      <c r="C41" t="s">
        <v>38</v>
      </c>
      <c r="D41" t="s">
        <v>16</v>
      </c>
      <c r="E41">
        <v>49</v>
      </c>
      <c r="F41">
        <v>12</v>
      </c>
      <c r="G41">
        <v>88760</v>
      </c>
      <c r="H41">
        <v>2</v>
      </c>
      <c r="I41">
        <v>58</v>
      </c>
      <c r="J41">
        <v>12</v>
      </c>
      <c r="K41">
        <v>3</v>
      </c>
      <c r="L41">
        <v>1</v>
      </c>
      <c r="M41" t="s">
        <v>17</v>
      </c>
    </row>
    <row r="42" spans="1:13" x14ac:dyDescent="0.3">
      <c r="A42" t="s">
        <v>80</v>
      </c>
      <c r="B42" t="s">
        <v>28</v>
      </c>
      <c r="C42" t="s">
        <v>61</v>
      </c>
      <c r="D42" t="s">
        <v>16</v>
      </c>
      <c r="E42">
        <v>28</v>
      </c>
      <c r="F42">
        <v>9</v>
      </c>
      <c r="G42">
        <v>80792</v>
      </c>
      <c r="H42">
        <v>4</v>
      </c>
      <c r="I42">
        <v>18</v>
      </c>
      <c r="J42">
        <v>11</v>
      </c>
      <c r="K42">
        <v>5</v>
      </c>
      <c r="L42">
        <v>4</v>
      </c>
      <c r="M42" t="s">
        <v>17</v>
      </c>
    </row>
    <row r="43" spans="1:13" x14ac:dyDescent="0.3">
      <c r="A43" t="s">
        <v>81</v>
      </c>
      <c r="B43" t="s">
        <v>35</v>
      </c>
      <c r="C43" t="s">
        <v>36</v>
      </c>
      <c r="D43" t="s">
        <v>16</v>
      </c>
      <c r="E43">
        <v>25</v>
      </c>
      <c r="F43">
        <v>12</v>
      </c>
      <c r="G43">
        <v>42840</v>
      </c>
      <c r="H43">
        <v>2</v>
      </c>
      <c r="I43">
        <v>6</v>
      </c>
      <c r="J43">
        <v>8</v>
      </c>
      <c r="K43">
        <v>2</v>
      </c>
      <c r="L43">
        <v>5</v>
      </c>
      <c r="M43" t="s">
        <v>17</v>
      </c>
    </row>
    <row r="44" spans="1:13" x14ac:dyDescent="0.3">
      <c r="A44" t="s">
        <v>82</v>
      </c>
      <c r="B44" t="s">
        <v>35</v>
      </c>
      <c r="C44" t="s">
        <v>83</v>
      </c>
      <c r="D44" t="s">
        <v>30</v>
      </c>
      <c r="E44">
        <v>46</v>
      </c>
      <c r="F44">
        <v>11</v>
      </c>
      <c r="G44">
        <v>35392</v>
      </c>
      <c r="H44">
        <v>1</v>
      </c>
      <c r="I44">
        <v>9</v>
      </c>
      <c r="J44">
        <v>5</v>
      </c>
      <c r="K44">
        <v>5</v>
      </c>
      <c r="L44">
        <v>2</v>
      </c>
      <c r="M44" t="s">
        <v>17</v>
      </c>
    </row>
    <row r="45" spans="1:13" x14ac:dyDescent="0.3">
      <c r="A45" t="s">
        <v>84</v>
      </c>
      <c r="B45" t="s">
        <v>24</v>
      </c>
      <c r="C45" t="s">
        <v>52</v>
      </c>
      <c r="D45" t="s">
        <v>30</v>
      </c>
      <c r="E45">
        <v>35</v>
      </c>
      <c r="F45">
        <v>6</v>
      </c>
      <c r="G45">
        <v>87245</v>
      </c>
      <c r="H45">
        <v>1</v>
      </c>
      <c r="I45">
        <v>32</v>
      </c>
      <c r="J45">
        <v>1</v>
      </c>
      <c r="K45">
        <v>5</v>
      </c>
      <c r="L45">
        <v>2</v>
      </c>
      <c r="M45" t="s">
        <v>17</v>
      </c>
    </row>
    <row r="46" spans="1:13" x14ac:dyDescent="0.3">
      <c r="A46" t="s">
        <v>85</v>
      </c>
      <c r="B46" t="s">
        <v>28</v>
      </c>
      <c r="C46" t="s">
        <v>29</v>
      </c>
      <c r="D46" t="s">
        <v>30</v>
      </c>
      <c r="E46">
        <v>38</v>
      </c>
      <c r="F46">
        <v>1</v>
      </c>
      <c r="G46">
        <v>51920</v>
      </c>
      <c r="H46">
        <v>4</v>
      </c>
      <c r="I46">
        <v>9</v>
      </c>
      <c r="J46">
        <v>12</v>
      </c>
      <c r="K46">
        <v>4</v>
      </c>
      <c r="L46">
        <v>1</v>
      </c>
      <c r="M46" t="s">
        <v>17</v>
      </c>
    </row>
    <row r="47" spans="1:13" x14ac:dyDescent="0.3">
      <c r="A47" t="s">
        <v>86</v>
      </c>
      <c r="B47" t="s">
        <v>19</v>
      </c>
      <c r="C47" t="s">
        <v>20</v>
      </c>
      <c r="D47" t="s">
        <v>30</v>
      </c>
      <c r="E47">
        <v>28</v>
      </c>
      <c r="F47">
        <v>10</v>
      </c>
      <c r="G47">
        <v>64411</v>
      </c>
      <c r="H47">
        <v>5</v>
      </c>
      <c r="I47">
        <v>37</v>
      </c>
      <c r="J47">
        <v>11</v>
      </c>
      <c r="K47">
        <v>1</v>
      </c>
      <c r="L47">
        <v>1</v>
      </c>
      <c r="M47" t="s">
        <v>17</v>
      </c>
    </row>
    <row r="48" spans="1:13" x14ac:dyDescent="0.3">
      <c r="A48" t="s">
        <v>87</v>
      </c>
      <c r="B48" t="s">
        <v>35</v>
      </c>
      <c r="C48" t="s">
        <v>88</v>
      </c>
      <c r="D48" t="s">
        <v>16</v>
      </c>
      <c r="E48">
        <v>30</v>
      </c>
      <c r="F48">
        <v>15</v>
      </c>
      <c r="G48">
        <v>61560</v>
      </c>
      <c r="H48">
        <v>5</v>
      </c>
      <c r="I48">
        <v>55</v>
      </c>
      <c r="J48">
        <v>5</v>
      </c>
      <c r="K48">
        <v>3</v>
      </c>
      <c r="L48">
        <v>4</v>
      </c>
      <c r="M48" t="s">
        <v>17</v>
      </c>
    </row>
    <row r="49" spans="1:13" x14ac:dyDescent="0.3">
      <c r="A49" t="s">
        <v>89</v>
      </c>
      <c r="B49" t="s">
        <v>19</v>
      </c>
      <c r="C49" t="s">
        <v>32</v>
      </c>
      <c r="D49" t="s">
        <v>16</v>
      </c>
      <c r="E49">
        <v>48</v>
      </c>
      <c r="F49">
        <v>15</v>
      </c>
      <c r="G49">
        <v>75330</v>
      </c>
      <c r="H49">
        <v>5</v>
      </c>
      <c r="I49">
        <v>21</v>
      </c>
      <c r="J49">
        <v>10</v>
      </c>
      <c r="K49">
        <v>3</v>
      </c>
      <c r="L49">
        <v>1</v>
      </c>
      <c r="M49" t="s">
        <v>17</v>
      </c>
    </row>
    <row r="50" spans="1:13" x14ac:dyDescent="0.3">
      <c r="A50" t="s">
        <v>90</v>
      </c>
      <c r="B50" t="s">
        <v>28</v>
      </c>
      <c r="C50" t="s">
        <v>29</v>
      </c>
      <c r="D50" t="s">
        <v>16</v>
      </c>
      <c r="E50">
        <v>45</v>
      </c>
      <c r="F50">
        <v>14</v>
      </c>
      <c r="G50">
        <v>73225</v>
      </c>
      <c r="H50">
        <v>5</v>
      </c>
      <c r="I50">
        <v>59</v>
      </c>
      <c r="J50">
        <v>10</v>
      </c>
      <c r="K50">
        <v>1</v>
      </c>
      <c r="L50">
        <v>4</v>
      </c>
      <c r="M50" t="s">
        <v>17</v>
      </c>
    </row>
    <row r="51" spans="1:13" x14ac:dyDescent="0.3">
      <c r="A51" t="s">
        <v>91</v>
      </c>
      <c r="B51" t="s">
        <v>43</v>
      </c>
      <c r="C51" t="s">
        <v>59</v>
      </c>
      <c r="D51" t="s">
        <v>30</v>
      </c>
      <c r="E51">
        <v>33</v>
      </c>
      <c r="F51">
        <v>3</v>
      </c>
      <c r="G51">
        <v>57486</v>
      </c>
      <c r="H51">
        <v>1</v>
      </c>
      <c r="I51">
        <v>42</v>
      </c>
      <c r="J51">
        <v>7</v>
      </c>
      <c r="K51">
        <v>3</v>
      </c>
      <c r="L51">
        <v>5</v>
      </c>
      <c r="M51" t="s">
        <v>17</v>
      </c>
    </row>
    <row r="52" spans="1:13" x14ac:dyDescent="0.3">
      <c r="A52" t="s">
        <v>92</v>
      </c>
      <c r="B52" t="s">
        <v>24</v>
      </c>
      <c r="C52" t="s">
        <v>65</v>
      </c>
      <c r="D52" t="s">
        <v>16</v>
      </c>
      <c r="E52">
        <v>40</v>
      </c>
      <c r="F52">
        <v>3</v>
      </c>
      <c r="G52">
        <v>83304</v>
      </c>
      <c r="H52">
        <v>1</v>
      </c>
      <c r="I52">
        <v>25</v>
      </c>
      <c r="J52">
        <v>11</v>
      </c>
      <c r="K52">
        <v>5</v>
      </c>
      <c r="L52">
        <v>3</v>
      </c>
      <c r="M52" t="s">
        <v>17</v>
      </c>
    </row>
    <row r="53" spans="1:13" x14ac:dyDescent="0.3">
      <c r="A53" t="s">
        <v>93</v>
      </c>
      <c r="B53" t="s">
        <v>14</v>
      </c>
      <c r="C53" t="s">
        <v>49</v>
      </c>
      <c r="D53" t="s">
        <v>30</v>
      </c>
      <c r="E53">
        <v>26</v>
      </c>
      <c r="F53">
        <v>7</v>
      </c>
      <c r="G53">
        <v>56176</v>
      </c>
      <c r="H53">
        <v>3</v>
      </c>
      <c r="I53">
        <v>34</v>
      </c>
      <c r="J53">
        <v>7</v>
      </c>
      <c r="K53">
        <v>5</v>
      </c>
      <c r="L53">
        <v>5</v>
      </c>
      <c r="M53" t="s">
        <v>17</v>
      </c>
    </row>
    <row r="54" spans="1:13" x14ac:dyDescent="0.3">
      <c r="A54" t="s">
        <v>94</v>
      </c>
      <c r="B54" t="s">
        <v>19</v>
      </c>
      <c r="C54" t="s">
        <v>22</v>
      </c>
      <c r="D54" t="s">
        <v>16</v>
      </c>
      <c r="E54">
        <v>30</v>
      </c>
      <c r="F54">
        <v>1</v>
      </c>
      <c r="G54">
        <v>82335</v>
      </c>
      <c r="H54">
        <v>1</v>
      </c>
      <c r="I54">
        <v>27</v>
      </c>
      <c r="J54">
        <v>7</v>
      </c>
      <c r="K54">
        <v>4</v>
      </c>
      <c r="L54">
        <v>2</v>
      </c>
      <c r="M54" t="s">
        <v>17</v>
      </c>
    </row>
    <row r="55" spans="1:13" x14ac:dyDescent="0.3">
      <c r="A55" t="s">
        <v>95</v>
      </c>
      <c r="B55" t="s">
        <v>28</v>
      </c>
      <c r="C55" t="s">
        <v>61</v>
      </c>
      <c r="D55" t="s">
        <v>16</v>
      </c>
      <c r="E55">
        <v>45</v>
      </c>
      <c r="F55">
        <v>10</v>
      </c>
      <c r="G55">
        <v>48124</v>
      </c>
      <c r="H55">
        <v>4</v>
      </c>
      <c r="I55">
        <v>42</v>
      </c>
      <c r="J55">
        <v>6</v>
      </c>
      <c r="K55">
        <v>5</v>
      </c>
      <c r="L55">
        <v>2</v>
      </c>
      <c r="M55" t="s">
        <v>33</v>
      </c>
    </row>
    <row r="56" spans="1:13" x14ac:dyDescent="0.3">
      <c r="A56" t="s">
        <v>96</v>
      </c>
      <c r="B56" t="s">
        <v>35</v>
      </c>
      <c r="C56" t="s">
        <v>88</v>
      </c>
      <c r="D56" t="s">
        <v>16</v>
      </c>
      <c r="E56">
        <v>49</v>
      </c>
      <c r="F56">
        <v>2</v>
      </c>
      <c r="G56">
        <v>37458</v>
      </c>
      <c r="H56">
        <v>2</v>
      </c>
      <c r="I56">
        <v>39</v>
      </c>
      <c r="J56">
        <v>4</v>
      </c>
      <c r="K56">
        <v>4</v>
      </c>
      <c r="L56">
        <v>5</v>
      </c>
      <c r="M56" t="s">
        <v>17</v>
      </c>
    </row>
    <row r="57" spans="1:13" x14ac:dyDescent="0.3">
      <c r="A57" t="s">
        <v>97</v>
      </c>
      <c r="B57" t="s">
        <v>14</v>
      </c>
      <c r="C57" t="s">
        <v>49</v>
      </c>
      <c r="D57" t="s">
        <v>16</v>
      </c>
      <c r="E57">
        <v>36</v>
      </c>
      <c r="F57">
        <v>12</v>
      </c>
      <c r="G57">
        <v>48526</v>
      </c>
      <c r="H57">
        <v>1</v>
      </c>
      <c r="I57">
        <v>53</v>
      </c>
      <c r="J57">
        <v>1</v>
      </c>
      <c r="K57">
        <v>1</v>
      </c>
      <c r="L57">
        <v>3</v>
      </c>
      <c r="M57" t="s">
        <v>33</v>
      </c>
    </row>
    <row r="58" spans="1:13" x14ac:dyDescent="0.3">
      <c r="A58" t="s">
        <v>98</v>
      </c>
      <c r="B58" t="s">
        <v>14</v>
      </c>
      <c r="C58" t="s">
        <v>15</v>
      </c>
      <c r="D58" t="s">
        <v>30</v>
      </c>
      <c r="E58">
        <v>42</v>
      </c>
      <c r="F58">
        <v>4</v>
      </c>
      <c r="G58">
        <v>56702</v>
      </c>
      <c r="H58">
        <v>2</v>
      </c>
      <c r="I58">
        <v>32</v>
      </c>
      <c r="J58">
        <v>5</v>
      </c>
      <c r="K58">
        <v>2</v>
      </c>
      <c r="L58">
        <v>4</v>
      </c>
      <c r="M58" t="s">
        <v>17</v>
      </c>
    </row>
    <row r="59" spans="1:13" x14ac:dyDescent="0.3">
      <c r="A59" t="s">
        <v>99</v>
      </c>
      <c r="B59" t="s">
        <v>35</v>
      </c>
      <c r="C59" t="s">
        <v>36</v>
      </c>
      <c r="D59" t="s">
        <v>30</v>
      </c>
      <c r="E59">
        <v>39</v>
      </c>
      <c r="F59">
        <v>12</v>
      </c>
      <c r="G59">
        <v>74803</v>
      </c>
      <c r="H59">
        <v>2</v>
      </c>
      <c r="I59">
        <v>53</v>
      </c>
      <c r="J59">
        <v>11</v>
      </c>
      <c r="K59">
        <v>4</v>
      </c>
      <c r="L59">
        <v>5</v>
      </c>
      <c r="M59" t="s">
        <v>33</v>
      </c>
    </row>
    <row r="60" spans="1:13" x14ac:dyDescent="0.3">
      <c r="A60" t="s">
        <v>100</v>
      </c>
      <c r="B60" t="s">
        <v>28</v>
      </c>
      <c r="C60" t="s">
        <v>46</v>
      </c>
      <c r="D60" t="s">
        <v>30</v>
      </c>
      <c r="E60">
        <v>47</v>
      </c>
      <c r="F60">
        <v>13</v>
      </c>
      <c r="G60">
        <v>65329</v>
      </c>
      <c r="H60">
        <v>3</v>
      </c>
      <c r="I60">
        <v>25</v>
      </c>
      <c r="J60">
        <v>1</v>
      </c>
      <c r="K60">
        <v>4</v>
      </c>
      <c r="L60">
        <v>1</v>
      </c>
      <c r="M60" t="s">
        <v>17</v>
      </c>
    </row>
    <row r="61" spans="1:13" x14ac:dyDescent="0.3">
      <c r="A61" t="s">
        <v>101</v>
      </c>
      <c r="B61" t="s">
        <v>14</v>
      </c>
      <c r="C61" t="s">
        <v>49</v>
      </c>
      <c r="D61" t="s">
        <v>16</v>
      </c>
      <c r="E61">
        <v>44</v>
      </c>
      <c r="F61">
        <v>7</v>
      </c>
      <c r="G61">
        <v>64037</v>
      </c>
      <c r="H61">
        <v>4</v>
      </c>
      <c r="I61">
        <v>59</v>
      </c>
      <c r="J61">
        <v>2</v>
      </c>
      <c r="K61">
        <v>4</v>
      </c>
      <c r="L61">
        <v>4</v>
      </c>
      <c r="M61" t="s">
        <v>17</v>
      </c>
    </row>
    <row r="62" spans="1:13" x14ac:dyDescent="0.3">
      <c r="A62" t="s">
        <v>102</v>
      </c>
      <c r="B62" t="s">
        <v>24</v>
      </c>
      <c r="C62" t="s">
        <v>25</v>
      </c>
      <c r="D62" t="s">
        <v>16</v>
      </c>
      <c r="E62">
        <v>29</v>
      </c>
      <c r="F62">
        <v>13</v>
      </c>
      <c r="G62">
        <v>41066</v>
      </c>
      <c r="H62">
        <v>4</v>
      </c>
      <c r="I62">
        <v>42</v>
      </c>
      <c r="J62">
        <v>12</v>
      </c>
      <c r="K62">
        <v>3</v>
      </c>
      <c r="L62">
        <v>3</v>
      </c>
      <c r="M62" t="s">
        <v>17</v>
      </c>
    </row>
    <row r="63" spans="1:13" x14ac:dyDescent="0.3">
      <c r="A63" t="s">
        <v>103</v>
      </c>
      <c r="B63" t="s">
        <v>14</v>
      </c>
      <c r="C63" t="s">
        <v>49</v>
      </c>
      <c r="D63" t="s">
        <v>30</v>
      </c>
      <c r="E63">
        <v>36</v>
      </c>
      <c r="F63">
        <v>1</v>
      </c>
      <c r="G63">
        <v>74174</v>
      </c>
      <c r="H63">
        <v>5</v>
      </c>
      <c r="I63">
        <v>26</v>
      </c>
      <c r="J63">
        <v>3</v>
      </c>
      <c r="K63">
        <v>3</v>
      </c>
      <c r="L63">
        <v>3</v>
      </c>
      <c r="M63" t="s">
        <v>17</v>
      </c>
    </row>
    <row r="64" spans="1:13" x14ac:dyDescent="0.3">
      <c r="A64" t="s">
        <v>104</v>
      </c>
      <c r="B64" t="s">
        <v>28</v>
      </c>
      <c r="C64" t="s">
        <v>61</v>
      </c>
      <c r="D64" t="s">
        <v>16</v>
      </c>
      <c r="E64">
        <v>44</v>
      </c>
      <c r="F64">
        <v>2</v>
      </c>
      <c r="G64">
        <v>34018</v>
      </c>
      <c r="H64">
        <v>1</v>
      </c>
      <c r="I64">
        <v>9</v>
      </c>
      <c r="J64">
        <v>12</v>
      </c>
      <c r="K64">
        <v>4</v>
      </c>
      <c r="L64">
        <v>4</v>
      </c>
      <c r="M64" t="s">
        <v>17</v>
      </c>
    </row>
    <row r="65" spans="1:13" x14ac:dyDescent="0.3">
      <c r="A65" t="s">
        <v>105</v>
      </c>
      <c r="B65" t="s">
        <v>19</v>
      </c>
      <c r="C65" t="s">
        <v>32</v>
      </c>
      <c r="D65" t="s">
        <v>30</v>
      </c>
      <c r="E65">
        <v>23</v>
      </c>
      <c r="F65">
        <v>3</v>
      </c>
      <c r="G65">
        <v>35860</v>
      </c>
      <c r="H65">
        <v>5</v>
      </c>
      <c r="I65">
        <v>52</v>
      </c>
      <c r="J65">
        <v>3</v>
      </c>
      <c r="K65">
        <v>1</v>
      </c>
      <c r="L65">
        <v>3</v>
      </c>
      <c r="M65" t="s">
        <v>33</v>
      </c>
    </row>
    <row r="66" spans="1:13" x14ac:dyDescent="0.3">
      <c r="A66" t="s">
        <v>106</v>
      </c>
      <c r="B66" t="s">
        <v>19</v>
      </c>
      <c r="C66" t="s">
        <v>20</v>
      </c>
      <c r="D66" t="s">
        <v>30</v>
      </c>
      <c r="E66">
        <v>47</v>
      </c>
      <c r="F66">
        <v>10</v>
      </c>
      <c r="G66">
        <v>83497</v>
      </c>
      <c r="H66">
        <v>1</v>
      </c>
      <c r="I66">
        <v>35</v>
      </c>
      <c r="J66">
        <v>12</v>
      </c>
      <c r="K66">
        <v>4</v>
      </c>
      <c r="L66">
        <v>2</v>
      </c>
      <c r="M66" t="s">
        <v>17</v>
      </c>
    </row>
    <row r="67" spans="1:13" x14ac:dyDescent="0.3">
      <c r="A67" t="s">
        <v>107</v>
      </c>
      <c r="B67" t="s">
        <v>14</v>
      </c>
      <c r="C67" t="s">
        <v>38</v>
      </c>
      <c r="D67" t="s">
        <v>30</v>
      </c>
      <c r="E67">
        <v>22</v>
      </c>
      <c r="F67">
        <v>5</v>
      </c>
      <c r="G67">
        <v>42956</v>
      </c>
      <c r="H67">
        <v>5</v>
      </c>
      <c r="I67">
        <v>51</v>
      </c>
      <c r="J67">
        <v>1</v>
      </c>
      <c r="K67">
        <v>4</v>
      </c>
      <c r="L67">
        <v>2</v>
      </c>
      <c r="M67" t="s">
        <v>17</v>
      </c>
    </row>
    <row r="68" spans="1:13" x14ac:dyDescent="0.3">
      <c r="A68" t="s">
        <v>108</v>
      </c>
      <c r="B68" t="s">
        <v>19</v>
      </c>
      <c r="C68" t="s">
        <v>22</v>
      </c>
      <c r="D68" t="s">
        <v>16</v>
      </c>
      <c r="E68">
        <v>24</v>
      </c>
      <c r="F68">
        <v>2</v>
      </c>
      <c r="G68">
        <v>85999</v>
      </c>
      <c r="H68">
        <v>4</v>
      </c>
      <c r="I68">
        <v>8</v>
      </c>
      <c r="J68">
        <v>6</v>
      </c>
      <c r="K68">
        <v>4</v>
      </c>
      <c r="L68">
        <v>3</v>
      </c>
      <c r="M68" t="s">
        <v>17</v>
      </c>
    </row>
    <row r="69" spans="1:13" x14ac:dyDescent="0.3">
      <c r="A69" t="s">
        <v>109</v>
      </c>
      <c r="B69" t="s">
        <v>28</v>
      </c>
      <c r="C69" t="s">
        <v>29</v>
      </c>
      <c r="D69" t="s">
        <v>16</v>
      </c>
      <c r="E69">
        <v>42</v>
      </c>
      <c r="F69">
        <v>10</v>
      </c>
      <c r="G69">
        <v>47312</v>
      </c>
      <c r="H69">
        <v>5</v>
      </c>
      <c r="I69">
        <v>29</v>
      </c>
      <c r="J69">
        <v>8</v>
      </c>
      <c r="K69">
        <v>1</v>
      </c>
      <c r="L69">
        <v>3</v>
      </c>
      <c r="M69" t="s">
        <v>17</v>
      </c>
    </row>
    <row r="70" spans="1:13" x14ac:dyDescent="0.3">
      <c r="A70" t="s">
        <v>110</v>
      </c>
      <c r="B70" t="s">
        <v>28</v>
      </c>
      <c r="C70" t="s">
        <v>29</v>
      </c>
      <c r="D70" t="s">
        <v>16</v>
      </c>
      <c r="E70">
        <v>29</v>
      </c>
      <c r="F70">
        <v>1</v>
      </c>
      <c r="G70">
        <v>57759</v>
      </c>
      <c r="H70">
        <v>1</v>
      </c>
      <c r="I70">
        <v>37</v>
      </c>
      <c r="J70">
        <v>7</v>
      </c>
      <c r="K70">
        <v>2</v>
      </c>
      <c r="L70">
        <v>3</v>
      </c>
      <c r="M70" t="s">
        <v>17</v>
      </c>
    </row>
    <row r="71" spans="1:13" x14ac:dyDescent="0.3">
      <c r="A71" t="s">
        <v>111</v>
      </c>
      <c r="B71" t="s">
        <v>43</v>
      </c>
      <c r="C71" t="s">
        <v>72</v>
      </c>
      <c r="D71" t="s">
        <v>30</v>
      </c>
      <c r="E71">
        <v>47</v>
      </c>
      <c r="F71">
        <v>3</v>
      </c>
      <c r="G71">
        <v>64117</v>
      </c>
      <c r="H71">
        <v>4</v>
      </c>
      <c r="I71">
        <v>42</v>
      </c>
      <c r="J71">
        <v>11</v>
      </c>
      <c r="K71">
        <v>2</v>
      </c>
      <c r="L71">
        <v>5</v>
      </c>
      <c r="M71" t="s">
        <v>17</v>
      </c>
    </row>
    <row r="72" spans="1:13" x14ac:dyDescent="0.3">
      <c r="A72" t="s">
        <v>112</v>
      </c>
      <c r="B72" t="s">
        <v>43</v>
      </c>
      <c r="C72" t="s">
        <v>44</v>
      </c>
      <c r="D72" t="s">
        <v>16</v>
      </c>
      <c r="E72">
        <v>35</v>
      </c>
      <c r="F72">
        <v>13</v>
      </c>
      <c r="G72">
        <v>40235</v>
      </c>
      <c r="H72">
        <v>4</v>
      </c>
      <c r="I72">
        <v>25</v>
      </c>
      <c r="J72">
        <v>7</v>
      </c>
      <c r="K72">
        <v>5</v>
      </c>
      <c r="L72">
        <v>3</v>
      </c>
      <c r="M72" t="s">
        <v>33</v>
      </c>
    </row>
    <row r="73" spans="1:13" x14ac:dyDescent="0.3">
      <c r="A73" t="s">
        <v>113</v>
      </c>
      <c r="B73" t="s">
        <v>28</v>
      </c>
      <c r="C73" t="s">
        <v>46</v>
      </c>
      <c r="D73" t="s">
        <v>16</v>
      </c>
      <c r="E73">
        <v>49</v>
      </c>
      <c r="F73">
        <v>10</v>
      </c>
      <c r="G73">
        <v>50775</v>
      </c>
      <c r="H73">
        <v>2</v>
      </c>
      <c r="I73">
        <v>15</v>
      </c>
      <c r="J73">
        <v>3</v>
      </c>
      <c r="K73">
        <v>4</v>
      </c>
      <c r="L73">
        <v>5</v>
      </c>
      <c r="M73" t="s">
        <v>17</v>
      </c>
    </row>
    <row r="74" spans="1:13" x14ac:dyDescent="0.3">
      <c r="A74" t="s">
        <v>114</v>
      </c>
      <c r="B74" t="s">
        <v>35</v>
      </c>
      <c r="C74" t="s">
        <v>83</v>
      </c>
      <c r="D74" t="s">
        <v>30</v>
      </c>
      <c r="E74">
        <v>22</v>
      </c>
      <c r="F74">
        <v>8</v>
      </c>
      <c r="G74">
        <v>45012</v>
      </c>
      <c r="H74">
        <v>2</v>
      </c>
      <c r="I74">
        <v>41</v>
      </c>
      <c r="J74">
        <v>7</v>
      </c>
      <c r="K74">
        <v>2</v>
      </c>
      <c r="L74">
        <v>3</v>
      </c>
      <c r="M74" t="s">
        <v>17</v>
      </c>
    </row>
    <row r="75" spans="1:13" x14ac:dyDescent="0.3">
      <c r="A75" t="s">
        <v>115</v>
      </c>
      <c r="B75" t="s">
        <v>14</v>
      </c>
      <c r="C75" t="s">
        <v>49</v>
      </c>
      <c r="D75" t="s">
        <v>30</v>
      </c>
      <c r="E75">
        <v>42</v>
      </c>
      <c r="F75">
        <v>4</v>
      </c>
      <c r="G75">
        <v>31529</v>
      </c>
      <c r="H75">
        <v>5</v>
      </c>
      <c r="I75">
        <v>54</v>
      </c>
      <c r="J75">
        <v>7</v>
      </c>
      <c r="K75">
        <v>4</v>
      </c>
      <c r="L75">
        <v>4</v>
      </c>
      <c r="M75" t="s">
        <v>17</v>
      </c>
    </row>
    <row r="76" spans="1:13" x14ac:dyDescent="0.3">
      <c r="A76" t="s">
        <v>116</v>
      </c>
      <c r="B76" t="s">
        <v>28</v>
      </c>
      <c r="C76" t="s">
        <v>61</v>
      </c>
      <c r="D76" t="s">
        <v>30</v>
      </c>
      <c r="E76">
        <v>38</v>
      </c>
      <c r="F76">
        <v>9</v>
      </c>
      <c r="G76">
        <v>85298</v>
      </c>
      <c r="H76">
        <v>2</v>
      </c>
      <c r="I76">
        <v>55</v>
      </c>
      <c r="J76">
        <v>6</v>
      </c>
      <c r="K76">
        <v>2</v>
      </c>
      <c r="L76">
        <v>5</v>
      </c>
      <c r="M76" t="s">
        <v>33</v>
      </c>
    </row>
    <row r="77" spans="1:13" x14ac:dyDescent="0.3">
      <c r="A77" t="s">
        <v>117</v>
      </c>
      <c r="B77" t="s">
        <v>35</v>
      </c>
      <c r="C77" t="s">
        <v>36</v>
      </c>
      <c r="D77" t="s">
        <v>16</v>
      </c>
      <c r="E77">
        <v>34</v>
      </c>
      <c r="F77">
        <v>0</v>
      </c>
      <c r="G77">
        <v>34616</v>
      </c>
      <c r="H77">
        <v>3</v>
      </c>
      <c r="I77">
        <v>57</v>
      </c>
      <c r="J77">
        <v>5</v>
      </c>
      <c r="K77">
        <v>2</v>
      </c>
      <c r="L77">
        <v>5</v>
      </c>
      <c r="M77" t="s">
        <v>33</v>
      </c>
    </row>
    <row r="78" spans="1:13" x14ac:dyDescent="0.3">
      <c r="A78" t="s">
        <v>118</v>
      </c>
      <c r="B78" t="s">
        <v>19</v>
      </c>
      <c r="C78" t="s">
        <v>20</v>
      </c>
      <c r="D78" t="s">
        <v>16</v>
      </c>
      <c r="E78">
        <v>48</v>
      </c>
      <c r="F78">
        <v>15</v>
      </c>
      <c r="G78">
        <v>34085</v>
      </c>
      <c r="H78">
        <v>3</v>
      </c>
      <c r="I78">
        <v>27</v>
      </c>
      <c r="J78">
        <v>12</v>
      </c>
      <c r="K78">
        <v>3</v>
      </c>
      <c r="L78">
        <v>4</v>
      </c>
      <c r="M78" t="s">
        <v>17</v>
      </c>
    </row>
    <row r="79" spans="1:13" x14ac:dyDescent="0.3">
      <c r="A79" t="s">
        <v>119</v>
      </c>
      <c r="B79" t="s">
        <v>24</v>
      </c>
      <c r="C79" t="s">
        <v>52</v>
      </c>
      <c r="D79" t="s">
        <v>30</v>
      </c>
      <c r="E79">
        <v>44</v>
      </c>
      <c r="F79">
        <v>5</v>
      </c>
      <c r="G79">
        <v>89699</v>
      </c>
      <c r="H79">
        <v>3</v>
      </c>
      <c r="I79">
        <v>42</v>
      </c>
      <c r="J79">
        <v>12</v>
      </c>
      <c r="K79">
        <v>4</v>
      </c>
      <c r="L79">
        <v>3</v>
      </c>
      <c r="M79" t="s">
        <v>17</v>
      </c>
    </row>
    <row r="80" spans="1:13" x14ac:dyDescent="0.3">
      <c r="A80" t="s">
        <v>120</v>
      </c>
      <c r="B80" t="s">
        <v>43</v>
      </c>
      <c r="C80" t="s">
        <v>72</v>
      </c>
      <c r="D80" t="s">
        <v>16</v>
      </c>
      <c r="E80">
        <v>26</v>
      </c>
      <c r="F80">
        <v>5</v>
      </c>
      <c r="G80">
        <v>45853</v>
      </c>
      <c r="H80">
        <v>5</v>
      </c>
      <c r="I80">
        <v>44</v>
      </c>
      <c r="J80">
        <v>12</v>
      </c>
      <c r="K80">
        <v>1</v>
      </c>
      <c r="L80">
        <v>2</v>
      </c>
      <c r="M80" t="s">
        <v>17</v>
      </c>
    </row>
    <row r="81" spans="1:13" x14ac:dyDescent="0.3">
      <c r="A81" t="s">
        <v>121</v>
      </c>
      <c r="B81" t="s">
        <v>28</v>
      </c>
      <c r="C81" t="s">
        <v>61</v>
      </c>
      <c r="D81" t="s">
        <v>30</v>
      </c>
      <c r="E81">
        <v>23</v>
      </c>
      <c r="F81">
        <v>1</v>
      </c>
      <c r="G81">
        <v>60363</v>
      </c>
      <c r="H81">
        <v>3</v>
      </c>
      <c r="I81">
        <v>43</v>
      </c>
      <c r="J81">
        <v>8</v>
      </c>
      <c r="K81">
        <v>2</v>
      </c>
      <c r="L81">
        <v>4</v>
      </c>
      <c r="M81" t="s">
        <v>17</v>
      </c>
    </row>
    <row r="82" spans="1:13" x14ac:dyDescent="0.3">
      <c r="A82" t="s">
        <v>122</v>
      </c>
      <c r="B82" t="s">
        <v>14</v>
      </c>
      <c r="C82" t="s">
        <v>38</v>
      </c>
      <c r="D82" t="s">
        <v>30</v>
      </c>
      <c r="E82">
        <v>35</v>
      </c>
      <c r="F82">
        <v>10</v>
      </c>
      <c r="G82">
        <v>64088</v>
      </c>
      <c r="H82">
        <v>3</v>
      </c>
      <c r="I82">
        <v>52</v>
      </c>
      <c r="J82">
        <v>5</v>
      </c>
      <c r="K82">
        <v>4</v>
      </c>
      <c r="L82">
        <v>2</v>
      </c>
      <c r="M82" t="s">
        <v>17</v>
      </c>
    </row>
    <row r="83" spans="1:13" x14ac:dyDescent="0.3">
      <c r="A83" t="s">
        <v>123</v>
      </c>
      <c r="B83" t="s">
        <v>43</v>
      </c>
      <c r="C83" t="s">
        <v>59</v>
      </c>
      <c r="D83" t="s">
        <v>30</v>
      </c>
      <c r="E83">
        <v>39</v>
      </c>
      <c r="F83">
        <v>5</v>
      </c>
      <c r="G83">
        <v>76652</v>
      </c>
      <c r="H83">
        <v>2</v>
      </c>
      <c r="I83">
        <v>16</v>
      </c>
      <c r="J83">
        <v>6</v>
      </c>
      <c r="K83">
        <v>2</v>
      </c>
      <c r="L83">
        <v>5</v>
      </c>
      <c r="M83" t="s">
        <v>17</v>
      </c>
    </row>
    <row r="84" spans="1:13" x14ac:dyDescent="0.3">
      <c r="A84" t="s">
        <v>124</v>
      </c>
      <c r="B84" t="s">
        <v>28</v>
      </c>
      <c r="C84" t="s">
        <v>29</v>
      </c>
      <c r="D84" t="s">
        <v>16</v>
      </c>
      <c r="E84">
        <v>22</v>
      </c>
      <c r="F84">
        <v>1</v>
      </c>
      <c r="G84">
        <v>84589</v>
      </c>
      <c r="H84">
        <v>2</v>
      </c>
      <c r="I84">
        <v>41</v>
      </c>
      <c r="J84">
        <v>10</v>
      </c>
      <c r="K84">
        <v>1</v>
      </c>
      <c r="L84">
        <v>5</v>
      </c>
      <c r="M84" t="s">
        <v>17</v>
      </c>
    </row>
    <row r="85" spans="1:13" x14ac:dyDescent="0.3">
      <c r="A85" t="s">
        <v>125</v>
      </c>
      <c r="B85" t="s">
        <v>24</v>
      </c>
      <c r="C85" t="s">
        <v>25</v>
      </c>
      <c r="D85" t="s">
        <v>16</v>
      </c>
      <c r="E85">
        <v>50</v>
      </c>
      <c r="F85">
        <v>12</v>
      </c>
      <c r="G85">
        <v>62897</v>
      </c>
      <c r="H85">
        <v>3</v>
      </c>
      <c r="I85">
        <v>49</v>
      </c>
      <c r="J85">
        <v>5</v>
      </c>
      <c r="K85">
        <v>2</v>
      </c>
      <c r="L85">
        <v>3</v>
      </c>
      <c r="M85" t="s">
        <v>33</v>
      </c>
    </row>
    <row r="86" spans="1:13" x14ac:dyDescent="0.3">
      <c r="A86" t="s">
        <v>126</v>
      </c>
      <c r="B86" t="s">
        <v>35</v>
      </c>
      <c r="C86" t="s">
        <v>41</v>
      </c>
      <c r="D86" t="s">
        <v>16</v>
      </c>
      <c r="E86">
        <v>33</v>
      </c>
      <c r="F86">
        <v>5</v>
      </c>
      <c r="G86">
        <v>34718</v>
      </c>
      <c r="H86">
        <v>2</v>
      </c>
      <c r="I86">
        <v>29</v>
      </c>
      <c r="J86">
        <v>3</v>
      </c>
      <c r="K86">
        <v>3</v>
      </c>
      <c r="L86">
        <v>4</v>
      </c>
      <c r="M86" t="s">
        <v>17</v>
      </c>
    </row>
    <row r="87" spans="1:13" x14ac:dyDescent="0.3">
      <c r="A87" t="s">
        <v>127</v>
      </c>
      <c r="B87" t="s">
        <v>19</v>
      </c>
      <c r="C87" t="s">
        <v>32</v>
      </c>
      <c r="D87" t="s">
        <v>30</v>
      </c>
      <c r="E87">
        <v>41</v>
      </c>
      <c r="F87">
        <v>10</v>
      </c>
      <c r="G87">
        <v>65370</v>
      </c>
      <c r="H87">
        <v>1</v>
      </c>
      <c r="I87">
        <v>32</v>
      </c>
      <c r="J87">
        <v>1</v>
      </c>
      <c r="K87">
        <v>3</v>
      </c>
      <c r="L87">
        <v>1</v>
      </c>
      <c r="M87" t="s">
        <v>17</v>
      </c>
    </row>
    <row r="88" spans="1:13" x14ac:dyDescent="0.3">
      <c r="A88" t="s">
        <v>128</v>
      </c>
      <c r="B88" t="s">
        <v>14</v>
      </c>
      <c r="C88" t="s">
        <v>38</v>
      </c>
      <c r="D88" t="s">
        <v>16</v>
      </c>
      <c r="E88">
        <v>34</v>
      </c>
      <c r="F88">
        <v>8</v>
      </c>
      <c r="G88">
        <v>61990</v>
      </c>
      <c r="H88">
        <v>3</v>
      </c>
      <c r="I88">
        <v>32</v>
      </c>
      <c r="J88">
        <v>4</v>
      </c>
      <c r="K88">
        <v>3</v>
      </c>
      <c r="L88">
        <v>2</v>
      </c>
      <c r="M88" t="s">
        <v>33</v>
      </c>
    </row>
    <row r="89" spans="1:13" x14ac:dyDescent="0.3">
      <c r="A89" t="s">
        <v>129</v>
      </c>
      <c r="B89" t="s">
        <v>19</v>
      </c>
      <c r="C89" t="s">
        <v>22</v>
      </c>
      <c r="D89" t="s">
        <v>30</v>
      </c>
      <c r="E89">
        <v>43</v>
      </c>
      <c r="F89">
        <v>15</v>
      </c>
      <c r="G89">
        <v>67508</v>
      </c>
      <c r="H89">
        <v>2</v>
      </c>
      <c r="I89">
        <v>7</v>
      </c>
      <c r="J89">
        <v>1</v>
      </c>
      <c r="K89">
        <v>2</v>
      </c>
      <c r="L89">
        <v>3</v>
      </c>
      <c r="M89" t="s">
        <v>17</v>
      </c>
    </row>
    <row r="90" spans="1:13" x14ac:dyDescent="0.3">
      <c r="A90" t="s">
        <v>130</v>
      </c>
      <c r="B90" t="s">
        <v>43</v>
      </c>
      <c r="C90" t="s">
        <v>59</v>
      </c>
      <c r="D90" t="s">
        <v>16</v>
      </c>
      <c r="E90">
        <v>22</v>
      </c>
      <c r="F90">
        <v>14</v>
      </c>
      <c r="G90">
        <v>81370</v>
      </c>
      <c r="H90">
        <v>1</v>
      </c>
      <c r="I90">
        <v>27</v>
      </c>
      <c r="J90">
        <v>11</v>
      </c>
      <c r="K90">
        <v>1</v>
      </c>
      <c r="L90">
        <v>2</v>
      </c>
      <c r="M90" t="s">
        <v>33</v>
      </c>
    </row>
    <row r="91" spans="1:13" x14ac:dyDescent="0.3">
      <c r="A91" t="s">
        <v>131</v>
      </c>
      <c r="B91" t="s">
        <v>35</v>
      </c>
      <c r="C91" t="s">
        <v>88</v>
      </c>
      <c r="D91" t="s">
        <v>30</v>
      </c>
      <c r="E91">
        <v>34</v>
      </c>
      <c r="F91">
        <v>2</v>
      </c>
      <c r="G91">
        <v>55747</v>
      </c>
      <c r="H91">
        <v>4</v>
      </c>
      <c r="I91">
        <v>35</v>
      </c>
      <c r="J91">
        <v>12</v>
      </c>
      <c r="K91">
        <v>5</v>
      </c>
      <c r="L91">
        <v>2</v>
      </c>
      <c r="M91" t="s">
        <v>17</v>
      </c>
    </row>
    <row r="92" spans="1:13" x14ac:dyDescent="0.3">
      <c r="A92" t="s">
        <v>132</v>
      </c>
      <c r="B92" t="s">
        <v>28</v>
      </c>
      <c r="C92" t="s">
        <v>46</v>
      </c>
      <c r="D92" t="s">
        <v>16</v>
      </c>
      <c r="E92">
        <v>34</v>
      </c>
      <c r="F92">
        <v>9</v>
      </c>
      <c r="G92">
        <v>72493</v>
      </c>
      <c r="H92">
        <v>4</v>
      </c>
      <c r="I92">
        <v>49</v>
      </c>
      <c r="J92">
        <v>1</v>
      </c>
      <c r="K92">
        <v>4</v>
      </c>
      <c r="L92">
        <v>5</v>
      </c>
      <c r="M92" t="s">
        <v>17</v>
      </c>
    </row>
    <row r="93" spans="1:13" x14ac:dyDescent="0.3">
      <c r="A93" t="s">
        <v>133</v>
      </c>
      <c r="B93" t="s">
        <v>35</v>
      </c>
      <c r="C93" t="s">
        <v>83</v>
      </c>
      <c r="D93" t="s">
        <v>16</v>
      </c>
      <c r="E93">
        <v>25</v>
      </c>
      <c r="F93">
        <v>14</v>
      </c>
      <c r="G93">
        <v>32002</v>
      </c>
      <c r="H93">
        <v>2</v>
      </c>
      <c r="I93">
        <v>50</v>
      </c>
      <c r="J93">
        <v>4</v>
      </c>
      <c r="K93">
        <v>2</v>
      </c>
      <c r="L93">
        <v>1</v>
      </c>
      <c r="M93" t="s">
        <v>17</v>
      </c>
    </row>
    <row r="94" spans="1:13" x14ac:dyDescent="0.3">
      <c r="A94" t="s">
        <v>134</v>
      </c>
      <c r="B94" t="s">
        <v>24</v>
      </c>
      <c r="C94" t="s">
        <v>25</v>
      </c>
      <c r="D94" t="s">
        <v>30</v>
      </c>
      <c r="E94">
        <v>33</v>
      </c>
      <c r="F94">
        <v>3</v>
      </c>
      <c r="G94">
        <v>49600</v>
      </c>
      <c r="H94">
        <v>5</v>
      </c>
      <c r="I94">
        <v>45</v>
      </c>
      <c r="J94">
        <v>6</v>
      </c>
      <c r="K94">
        <v>1</v>
      </c>
      <c r="L94">
        <v>4</v>
      </c>
      <c r="M94" t="s">
        <v>33</v>
      </c>
    </row>
    <row r="95" spans="1:13" x14ac:dyDescent="0.3">
      <c r="A95" t="s">
        <v>135</v>
      </c>
      <c r="B95" t="s">
        <v>14</v>
      </c>
      <c r="C95" t="s">
        <v>49</v>
      </c>
      <c r="D95" t="s">
        <v>16</v>
      </c>
      <c r="E95">
        <v>43</v>
      </c>
      <c r="F95">
        <v>11</v>
      </c>
      <c r="G95">
        <v>81080</v>
      </c>
      <c r="H95">
        <v>1</v>
      </c>
      <c r="I95">
        <v>55</v>
      </c>
      <c r="J95">
        <v>1</v>
      </c>
      <c r="K95">
        <v>1</v>
      </c>
      <c r="L95">
        <v>1</v>
      </c>
      <c r="M95" t="s">
        <v>17</v>
      </c>
    </row>
    <row r="96" spans="1:13" x14ac:dyDescent="0.3">
      <c r="A96" t="s">
        <v>136</v>
      </c>
      <c r="B96" t="s">
        <v>24</v>
      </c>
      <c r="C96" t="s">
        <v>52</v>
      </c>
      <c r="D96" t="s">
        <v>16</v>
      </c>
      <c r="E96">
        <v>48</v>
      </c>
      <c r="F96">
        <v>3</v>
      </c>
      <c r="G96">
        <v>88452</v>
      </c>
      <c r="H96">
        <v>2</v>
      </c>
      <c r="I96">
        <v>34</v>
      </c>
      <c r="J96">
        <v>2</v>
      </c>
      <c r="K96">
        <v>2</v>
      </c>
      <c r="L96">
        <v>4</v>
      </c>
      <c r="M96" t="s">
        <v>17</v>
      </c>
    </row>
    <row r="97" spans="1:13" x14ac:dyDescent="0.3">
      <c r="A97" t="s">
        <v>137</v>
      </c>
      <c r="B97" t="s">
        <v>19</v>
      </c>
      <c r="C97" t="s">
        <v>22</v>
      </c>
      <c r="D97" t="s">
        <v>30</v>
      </c>
      <c r="E97">
        <v>22</v>
      </c>
      <c r="F97">
        <v>5</v>
      </c>
      <c r="G97">
        <v>70355</v>
      </c>
      <c r="H97">
        <v>1</v>
      </c>
      <c r="I97">
        <v>24</v>
      </c>
      <c r="J97">
        <v>4</v>
      </c>
      <c r="K97">
        <v>1</v>
      </c>
      <c r="L97">
        <v>2</v>
      </c>
      <c r="M97" t="s">
        <v>33</v>
      </c>
    </row>
    <row r="98" spans="1:13" x14ac:dyDescent="0.3">
      <c r="A98" t="s">
        <v>138</v>
      </c>
      <c r="B98" t="s">
        <v>24</v>
      </c>
      <c r="C98" t="s">
        <v>52</v>
      </c>
      <c r="D98" t="s">
        <v>30</v>
      </c>
      <c r="E98">
        <v>22</v>
      </c>
      <c r="F98">
        <v>5</v>
      </c>
      <c r="G98">
        <v>62498</v>
      </c>
      <c r="H98">
        <v>4</v>
      </c>
      <c r="I98">
        <v>19</v>
      </c>
      <c r="J98">
        <v>7</v>
      </c>
      <c r="K98">
        <v>5</v>
      </c>
      <c r="L98">
        <v>3</v>
      </c>
      <c r="M98" t="s">
        <v>17</v>
      </c>
    </row>
    <row r="99" spans="1:13" x14ac:dyDescent="0.3">
      <c r="A99" t="s">
        <v>139</v>
      </c>
      <c r="B99" t="s">
        <v>35</v>
      </c>
      <c r="C99" t="s">
        <v>88</v>
      </c>
      <c r="D99" t="s">
        <v>16</v>
      </c>
      <c r="E99">
        <v>48</v>
      </c>
      <c r="F99">
        <v>7</v>
      </c>
      <c r="G99">
        <v>75950</v>
      </c>
      <c r="H99">
        <v>4</v>
      </c>
      <c r="I99">
        <v>9</v>
      </c>
      <c r="J99">
        <v>11</v>
      </c>
      <c r="K99">
        <v>2</v>
      </c>
      <c r="L99">
        <v>5</v>
      </c>
      <c r="M99" t="s">
        <v>17</v>
      </c>
    </row>
    <row r="100" spans="1:13" x14ac:dyDescent="0.3">
      <c r="A100" t="s">
        <v>140</v>
      </c>
      <c r="B100" t="s">
        <v>35</v>
      </c>
      <c r="C100" t="s">
        <v>83</v>
      </c>
      <c r="D100" t="s">
        <v>16</v>
      </c>
      <c r="E100">
        <v>37</v>
      </c>
      <c r="F100">
        <v>0</v>
      </c>
      <c r="G100">
        <v>69368</v>
      </c>
      <c r="H100">
        <v>4</v>
      </c>
      <c r="I100">
        <v>25</v>
      </c>
      <c r="J100">
        <v>7</v>
      </c>
      <c r="K100">
        <v>5</v>
      </c>
      <c r="L100">
        <v>4</v>
      </c>
      <c r="M100" t="s">
        <v>17</v>
      </c>
    </row>
    <row r="101" spans="1:13" x14ac:dyDescent="0.3">
      <c r="A101" t="s">
        <v>141</v>
      </c>
      <c r="B101" t="s">
        <v>28</v>
      </c>
      <c r="C101" t="s">
        <v>29</v>
      </c>
      <c r="D101" t="s">
        <v>16</v>
      </c>
      <c r="E101">
        <v>31</v>
      </c>
      <c r="F101">
        <v>2</v>
      </c>
      <c r="G101">
        <v>89168</v>
      </c>
      <c r="H101">
        <v>3</v>
      </c>
      <c r="I101">
        <v>17</v>
      </c>
      <c r="J101">
        <v>11</v>
      </c>
      <c r="K101">
        <v>1</v>
      </c>
      <c r="L101">
        <v>3</v>
      </c>
      <c r="M101" t="s">
        <v>17</v>
      </c>
    </row>
    <row r="102" spans="1:13" x14ac:dyDescent="0.3">
      <c r="A102" t="s">
        <v>142</v>
      </c>
      <c r="B102" t="s">
        <v>43</v>
      </c>
      <c r="C102" t="s">
        <v>59</v>
      </c>
      <c r="D102" t="s">
        <v>30</v>
      </c>
      <c r="E102">
        <v>32</v>
      </c>
      <c r="F102">
        <v>8</v>
      </c>
      <c r="G102">
        <v>73033</v>
      </c>
      <c r="H102">
        <v>2</v>
      </c>
      <c r="I102">
        <v>12</v>
      </c>
      <c r="J102">
        <v>8</v>
      </c>
      <c r="K102">
        <v>2</v>
      </c>
      <c r="L102">
        <v>2</v>
      </c>
      <c r="M102" t="s">
        <v>33</v>
      </c>
    </row>
    <row r="103" spans="1:13" x14ac:dyDescent="0.3">
      <c r="A103" t="s">
        <v>143</v>
      </c>
      <c r="B103" t="s">
        <v>14</v>
      </c>
      <c r="C103" t="s">
        <v>38</v>
      </c>
      <c r="D103" t="s">
        <v>30</v>
      </c>
      <c r="E103">
        <v>35</v>
      </c>
      <c r="F103">
        <v>10</v>
      </c>
      <c r="G103">
        <v>77138</v>
      </c>
      <c r="H103">
        <v>3</v>
      </c>
      <c r="I103">
        <v>10</v>
      </c>
      <c r="J103">
        <v>2</v>
      </c>
      <c r="K103">
        <v>3</v>
      </c>
      <c r="L103">
        <v>5</v>
      </c>
      <c r="M103" t="s">
        <v>17</v>
      </c>
    </row>
    <row r="104" spans="1:13" x14ac:dyDescent="0.3">
      <c r="A104" t="s">
        <v>144</v>
      </c>
      <c r="B104" t="s">
        <v>28</v>
      </c>
      <c r="C104" t="s">
        <v>29</v>
      </c>
      <c r="D104" t="s">
        <v>16</v>
      </c>
      <c r="E104">
        <v>33</v>
      </c>
      <c r="F104">
        <v>12</v>
      </c>
      <c r="G104">
        <v>42693</v>
      </c>
      <c r="H104">
        <v>5</v>
      </c>
      <c r="I104">
        <v>39</v>
      </c>
      <c r="J104">
        <v>2</v>
      </c>
      <c r="K104">
        <v>3</v>
      </c>
      <c r="L104">
        <v>2</v>
      </c>
      <c r="M104" t="s">
        <v>17</v>
      </c>
    </row>
    <row r="105" spans="1:13" x14ac:dyDescent="0.3">
      <c r="A105" t="s">
        <v>145</v>
      </c>
      <c r="B105" t="s">
        <v>19</v>
      </c>
      <c r="C105" t="s">
        <v>32</v>
      </c>
      <c r="D105" t="s">
        <v>16</v>
      </c>
      <c r="E105">
        <v>43</v>
      </c>
      <c r="F105">
        <v>2</v>
      </c>
      <c r="G105">
        <v>88273</v>
      </c>
      <c r="H105">
        <v>4</v>
      </c>
      <c r="I105">
        <v>25</v>
      </c>
      <c r="J105">
        <v>9</v>
      </c>
      <c r="K105">
        <v>4</v>
      </c>
      <c r="L105">
        <v>5</v>
      </c>
      <c r="M105" t="s">
        <v>17</v>
      </c>
    </row>
    <row r="106" spans="1:13" x14ac:dyDescent="0.3">
      <c r="A106" t="s">
        <v>146</v>
      </c>
      <c r="B106" t="s">
        <v>24</v>
      </c>
      <c r="C106" t="s">
        <v>52</v>
      </c>
      <c r="D106" t="s">
        <v>16</v>
      </c>
      <c r="E106">
        <v>34</v>
      </c>
      <c r="F106">
        <v>5</v>
      </c>
      <c r="G106">
        <v>58057</v>
      </c>
      <c r="H106">
        <v>2</v>
      </c>
      <c r="I106">
        <v>5</v>
      </c>
      <c r="J106">
        <v>8</v>
      </c>
      <c r="K106">
        <v>1</v>
      </c>
      <c r="L106">
        <v>2</v>
      </c>
      <c r="M106" t="s">
        <v>17</v>
      </c>
    </row>
    <row r="107" spans="1:13" x14ac:dyDescent="0.3">
      <c r="A107" t="s">
        <v>147</v>
      </c>
      <c r="B107" t="s">
        <v>28</v>
      </c>
      <c r="C107" t="s">
        <v>61</v>
      </c>
      <c r="D107" t="s">
        <v>30</v>
      </c>
      <c r="E107">
        <v>42</v>
      </c>
      <c r="F107">
        <v>11</v>
      </c>
      <c r="G107">
        <v>40093</v>
      </c>
      <c r="H107">
        <v>5</v>
      </c>
      <c r="I107">
        <v>37</v>
      </c>
      <c r="J107">
        <v>3</v>
      </c>
      <c r="K107">
        <v>2</v>
      </c>
      <c r="L107">
        <v>5</v>
      </c>
      <c r="M107" t="s">
        <v>17</v>
      </c>
    </row>
    <row r="108" spans="1:13" x14ac:dyDescent="0.3">
      <c r="A108" t="s">
        <v>148</v>
      </c>
      <c r="B108" t="s">
        <v>19</v>
      </c>
      <c r="C108" t="s">
        <v>22</v>
      </c>
      <c r="D108" t="s">
        <v>16</v>
      </c>
      <c r="E108">
        <v>49</v>
      </c>
      <c r="F108">
        <v>3</v>
      </c>
      <c r="G108">
        <v>51329</v>
      </c>
      <c r="H108">
        <v>5</v>
      </c>
      <c r="I108">
        <v>50</v>
      </c>
      <c r="J108">
        <v>6</v>
      </c>
      <c r="K108">
        <v>4</v>
      </c>
      <c r="L108">
        <v>2</v>
      </c>
      <c r="M108" t="s">
        <v>33</v>
      </c>
    </row>
    <row r="109" spans="1:13" x14ac:dyDescent="0.3">
      <c r="A109" t="s">
        <v>149</v>
      </c>
      <c r="B109" t="s">
        <v>28</v>
      </c>
      <c r="C109" t="s">
        <v>29</v>
      </c>
      <c r="D109" t="s">
        <v>16</v>
      </c>
      <c r="E109">
        <v>47</v>
      </c>
      <c r="F109">
        <v>12</v>
      </c>
      <c r="G109">
        <v>73993</v>
      </c>
      <c r="H109">
        <v>1</v>
      </c>
      <c r="I109">
        <v>58</v>
      </c>
      <c r="J109">
        <v>12</v>
      </c>
      <c r="K109">
        <v>2</v>
      </c>
      <c r="L109">
        <v>2</v>
      </c>
      <c r="M109" t="s">
        <v>17</v>
      </c>
    </row>
    <row r="110" spans="1:13" x14ac:dyDescent="0.3">
      <c r="A110" t="s">
        <v>150</v>
      </c>
      <c r="B110" t="s">
        <v>35</v>
      </c>
      <c r="C110" t="s">
        <v>36</v>
      </c>
      <c r="D110" t="s">
        <v>30</v>
      </c>
      <c r="E110">
        <v>43</v>
      </c>
      <c r="F110">
        <v>5</v>
      </c>
      <c r="G110">
        <v>35463</v>
      </c>
      <c r="H110">
        <v>1</v>
      </c>
      <c r="I110">
        <v>22</v>
      </c>
      <c r="J110">
        <v>2</v>
      </c>
      <c r="K110">
        <v>5</v>
      </c>
      <c r="L110">
        <v>2</v>
      </c>
      <c r="M110" t="s">
        <v>17</v>
      </c>
    </row>
    <row r="111" spans="1:13" x14ac:dyDescent="0.3">
      <c r="A111" t="s">
        <v>151</v>
      </c>
      <c r="B111" t="s">
        <v>35</v>
      </c>
      <c r="C111" t="s">
        <v>41</v>
      </c>
      <c r="D111" t="s">
        <v>30</v>
      </c>
      <c r="E111">
        <v>38</v>
      </c>
      <c r="F111">
        <v>15</v>
      </c>
      <c r="G111">
        <v>70706</v>
      </c>
      <c r="H111">
        <v>4</v>
      </c>
      <c r="I111">
        <v>10</v>
      </c>
      <c r="J111">
        <v>8</v>
      </c>
      <c r="K111">
        <v>2</v>
      </c>
      <c r="L111">
        <v>5</v>
      </c>
      <c r="M111" t="s">
        <v>17</v>
      </c>
    </row>
    <row r="112" spans="1:13" x14ac:dyDescent="0.3">
      <c r="A112" t="s">
        <v>152</v>
      </c>
      <c r="B112" t="s">
        <v>24</v>
      </c>
      <c r="C112" t="s">
        <v>52</v>
      </c>
      <c r="D112" t="s">
        <v>16</v>
      </c>
      <c r="E112">
        <v>26</v>
      </c>
      <c r="F112">
        <v>2</v>
      </c>
      <c r="G112">
        <v>58930</v>
      </c>
      <c r="H112">
        <v>1</v>
      </c>
      <c r="I112">
        <v>16</v>
      </c>
      <c r="J112">
        <v>2</v>
      </c>
      <c r="K112">
        <v>1</v>
      </c>
      <c r="L112">
        <v>1</v>
      </c>
      <c r="M112" t="s">
        <v>17</v>
      </c>
    </row>
    <row r="113" spans="1:13" x14ac:dyDescent="0.3">
      <c r="A113" t="s">
        <v>153</v>
      </c>
      <c r="B113" t="s">
        <v>43</v>
      </c>
      <c r="C113" t="s">
        <v>72</v>
      </c>
      <c r="D113" t="s">
        <v>16</v>
      </c>
      <c r="E113">
        <v>42</v>
      </c>
      <c r="F113">
        <v>6</v>
      </c>
      <c r="G113">
        <v>33505</v>
      </c>
      <c r="H113">
        <v>1</v>
      </c>
      <c r="I113">
        <v>58</v>
      </c>
      <c r="J113">
        <v>7</v>
      </c>
      <c r="K113">
        <v>1</v>
      </c>
      <c r="L113">
        <v>3</v>
      </c>
      <c r="M113" t="s">
        <v>17</v>
      </c>
    </row>
    <row r="114" spans="1:13" x14ac:dyDescent="0.3">
      <c r="A114" t="s">
        <v>154</v>
      </c>
      <c r="B114" t="s">
        <v>14</v>
      </c>
      <c r="C114" t="s">
        <v>38</v>
      </c>
      <c r="D114" t="s">
        <v>30</v>
      </c>
      <c r="E114">
        <v>25</v>
      </c>
      <c r="F114">
        <v>6</v>
      </c>
      <c r="G114">
        <v>30692</v>
      </c>
      <c r="H114">
        <v>1</v>
      </c>
      <c r="I114">
        <v>41</v>
      </c>
      <c r="J114">
        <v>5</v>
      </c>
      <c r="K114">
        <v>5</v>
      </c>
      <c r="L114">
        <v>5</v>
      </c>
      <c r="M114" t="s">
        <v>33</v>
      </c>
    </row>
    <row r="115" spans="1:13" x14ac:dyDescent="0.3">
      <c r="A115" t="s">
        <v>155</v>
      </c>
      <c r="B115" t="s">
        <v>35</v>
      </c>
      <c r="C115" t="s">
        <v>88</v>
      </c>
      <c r="D115" t="s">
        <v>16</v>
      </c>
      <c r="E115">
        <v>34</v>
      </c>
      <c r="F115">
        <v>15</v>
      </c>
      <c r="G115">
        <v>46954</v>
      </c>
      <c r="H115">
        <v>4</v>
      </c>
      <c r="I115">
        <v>9</v>
      </c>
      <c r="J115">
        <v>9</v>
      </c>
      <c r="K115">
        <v>5</v>
      </c>
      <c r="L115">
        <v>4</v>
      </c>
      <c r="M115" t="s">
        <v>17</v>
      </c>
    </row>
    <row r="116" spans="1:13" x14ac:dyDescent="0.3">
      <c r="A116" t="s">
        <v>156</v>
      </c>
      <c r="B116" t="s">
        <v>35</v>
      </c>
      <c r="C116" t="s">
        <v>83</v>
      </c>
      <c r="D116" t="s">
        <v>16</v>
      </c>
      <c r="E116">
        <v>39</v>
      </c>
      <c r="F116">
        <v>11</v>
      </c>
      <c r="G116">
        <v>78735</v>
      </c>
      <c r="H116">
        <v>5</v>
      </c>
      <c r="I116">
        <v>38</v>
      </c>
      <c r="J116">
        <v>8</v>
      </c>
      <c r="K116">
        <v>2</v>
      </c>
      <c r="L116">
        <v>5</v>
      </c>
      <c r="M116" t="s">
        <v>17</v>
      </c>
    </row>
    <row r="117" spans="1:13" x14ac:dyDescent="0.3">
      <c r="A117" t="s">
        <v>157</v>
      </c>
      <c r="B117" t="s">
        <v>28</v>
      </c>
      <c r="C117" t="s">
        <v>61</v>
      </c>
      <c r="D117" t="s">
        <v>30</v>
      </c>
      <c r="E117">
        <v>45</v>
      </c>
      <c r="F117">
        <v>0</v>
      </c>
      <c r="G117">
        <v>31623</v>
      </c>
      <c r="H117">
        <v>5</v>
      </c>
      <c r="I117">
        <v>52</v>
      </c>
      <c r="J117">
        <v>8</v>
      </c>
      <c r="K117">
        <v>3</v>
      </c>
      <c r="L117">
        <v>1</v>
      </c>
      <c r="M117" t="s">
        <v>17</v>
      </c>
    </row>
    <row r="118" spans="1:13" x14ac:dyDescent="0.3">
      <c r="A118" t="s">
        <v>158</v>
      </c>
      <c r="B118" t="s">
        <v>28</v>
      </c>
      <c r="C118" t="s">
        <v>29</v>
      </c>
      <c r="D118" t="s">
        <v>30</v>
      </c>
      <c r="E118">
        <v>24</v>
      </c>
      <c r="F118">
        <v>5</v>
      </c>
      <c r="G118">
        <v>77511</v>
      </c>
      <c r="H118">
        <v>3</v>
      </c>
      <c r="I118">
        <v>22</v>
      </c>
      <c r="J118">
        <v>2</v>
      </c>
      <c r="K118">
        <v>4</v>
      </c>
      <c r="L118">
        <v>4</v>
      </c>
      <c r="M118" t="s">
        <v>33</v>
      </c>
    </row>
    <row r="119" spans="1:13" x14ac:dyDescent="0.3">
      <c r="A119" t="s">
        <v>159</v>
      </c>
      <c r="B119" t="s">
        <v>24</v>
      </c>
      <c r="C119" t="s">
        <v>52</v>
      </c>
      <c r="D119" t="s">
        <v>30</v>
      </c>
      <c r="E119">
        <v>24</v>
      </c>
      <c r="F119">
        <v>12</v>
      </c>
      <c r="G119">
        <v>65618</v>
      </c>
      <c r="H119">
        <v>3</v>
      </c>
      <c r="I119">
        <v>49</v>
      </c>
      <c r="J119">
        <v>6</v>
      </c>
      <c r="K119">
        <v>2</v>
      </c>
      <c r="L119">
        <v>3</v>
      </c>
      <c r="M119" t="s">
        <v>17</v>
      </c>
    </row>
    <row r="120" spans="1:13" x14ac:dyDescent="0.3">
      <c r="A120" t="s">
        <v>160</v>
      </c>
      <c r="B120" t="s">
        <v>19</v>
      </c>
      <c r="C120" t="s">
        <v>20</v>
      </c>
      <c r="D120" t="s">
        <v>30</v>
      </c>
      <c r="E120">
        <v>38</v>
      </c>
      <c r="F120">
        <v>6</v>
      </c>
      <c r="G120">
        <v>44478</v>
      </c>
      <c r="H120">
        <v>1</v>
      </c>
      <c r="I120">
        <v>38</v>
      </c>
      <c r="J120">
        <v>8</v>
      </c>
      <c r="K120">
        <v>1</v>
      </c>
      <c r="L120">
        <v>2</v>
      </c>
      <c r="M120" t="s">
        <v>17</v>
      </c>
    </row>
    <row r="121" spans="1:13" x14ac:dyDescent="0.3">
      <c r="A121" t="s">
        <v>161</v>
      </c>
      <c r="B121" t="s">
        <v>24</v>
      </c>
      <c r="C121" t="s">
        <v>52</v>
      </c>
      <c r="D121" t="s">
        <v>30</v>
      </c>
      <c r="E121">
        <v>48</v>
      </c>
      <c r="F121">
        <v>4</v>
      </c>
      <c r="G121">
        <v>78037</v>
      </c>
      <c r="H121">
        <v>2</v>
      </c>
      <c r="I121">
        <v>49</v>
      </c>
      <c r="J121">
        <v>8</v>
      </c>
      <c r="K121">
        <v>5</v>
      </c>
      <c r="L121">
        <v>1</v>
      </c>
      <c r="M121" t="s">
        <v>17</v>
      </c>
    </row>
    <row r="122" spans="1:13" x14ac:dyDescent="0.3">
      <c r="A122" t="s">
        <v>162</v>
      </c>
      <c r="B122" t="s">
        <v>35</v>
      </c>
      <c r="C122" t="s">
        <v>36</v>
      </c>
      <c r="D122" t="s">
        <v>30</v>
      </c>
      <c r="E122">
        <v>25</v>
      </c>
      <c r="F122">
        <v>2</v>
      </c>
      <c r="G122">
        <v>86015</v>
      </c>
      <c r="H122">
        <v>2</v>
      </c>
      <c r="I122">
        <v>51</v>
      </c>
      <c r="J122">
        <v>7</v>
      </c>
      <c r="K122">
        <v>2</v>
      </c>
      <c r="L122">
        <v>1</v>
      </c>
      <c r="M122" t="s">
        <v>33</v>
      </c>
    </row>
    <row r="123" spans="1:13" x14ac:dyDescent="0.3">
      <c r="A123" t="s">
        <v>163</v>
      </c>
      <c r="B123" t="s">
        <v>24</v>
      </c>
      <c r="C123" t="s">
        <v>25</v>
      </c>
      <c r="D123" t="s">
        <v>30</v>
      </c>
      <c r="E123">
        <v>22</v>
      </c>
      <c r="F123">
        <v>9</v>
      </c>
      <c r="G123">
        <v>50928</v>
      </c>
      <c r="H123">
        <v>4</v>
      </c>
      <c r="I123">
        <v>17</v>
      </c>
      <c r="J123">
        <v>5</v>
      </c>
      <c r="K123">
        <v>2</v>
      </c>
      <c r="L123">
        <v>4</v>
      </c>
      <c r="M123" t="s">
        <v>17</v>
      </c>
    </row>
    <row r="124" spans="1:13" x14ac:dyDescent="0.3">
      <c r="A124" t="s">
        <v>164</v>
      </c>
      <c r="B124" t="s">
        <v>28</v>
      </c>
      <c r="C124" t="s">
        <v>29</v>
      </c>
      <c r="D124" t="s">
        <v>30</v>
      </c>
      <c r="E124">
        <v>23</v>
      </c>
      <c r="F124">
        <v>1</v>
      </c>
      <c r="G124">
        <v>35332</v>
      </c>
      <c r="H124">
        <v>4</v>
      </c>
      <c r="I124">
        <v>39</v>
      </c>
      <c r="J124">
        <v>5</v>
      </c>
      <c r="K124">
        <v>2</v>
      </c>
      <c r="L124">
        <v>2</v>
      </c>
      <c r="M124" t="s">
        <v>17</v>
      </c>
    </row>
    <row r="125" spans="1:13" x14ac:dyDescent="0.3">
      <c r="A125" t="s">
        <v>165</v>
      </c>
      <c r="B125" t="s">
        <v>14</v>
      </c>
      <c r="C125" t="s">
        <v>49</v>
      </c>
      <c r="D125" t="s">
        <v>30</v>
      </c>
      <c r="E125">
        <v>25</v>
      </c>
      <c r="F125">
        <v>8</v>
      </c>
      <c r="G125">
        <v>56752</v>
      </c>
      <c r="H125">
        <v>3</v>
      </c>
      <c r="I125">
        <v>51</v>
      </c>
      <c r="J125">
        <v>5</v>
      </c>
      <c r="K125">
        <v>1</v>
      </c>
      <c r="L125">
        <v>5</v>
      </c>
      <c r="M125" t="s">
        <v>17</v>
      </c>
    </row>
    <row r="126" spans="1:13" x14ac:dyDescent="0.3">
      <c r="A126" t="s">
        <v>166</v>
      </c>
      <c r="B126" t="s">
        <v>43</v>
      </c>
      <c r="C126" t="s">
        <v>44</v>
      </c>
      <c r="D126" t="s">
        <v>16</v>
      </c>
      <c r="E126">
        <v>48</v>
      </c>
      <c r="F126">
        <v>6</v>
      </c>
      <c r="G126">
        <v>69149</v>
      </c>
      <c r="H126">
        <v>1</v>
      </c>
      <c r="I126">
        <v>36</v>
      </c>
      <c r="J126">
        <v>7</v>
      </c>
      <c r="K126">
        <v>3</v>
      </c>
      <c r="L126">
        <v>4</v>
      </c>
      <c r="M126" t="s">
        <v>17</v>
      </c>
    </row>
    <row r="127" spans="1:13" x14ac:dyDescent="0.3">
      <c r="A127" t="s">
        <v>167</v>
      </c>
      <c r="B127" t="s">
        <v>35</v>
      </c>
      <c r="C127" t="s">
        <v>36</v>
      </c>
      <c r="D127" t="s">
        <v>16</v>
      </c>
      <c r="E127">
        <v>38</v>
      </c>
      <c r="F127">
        <v>3</v>
      </c>
      <c r="G127">
        <v>37927</v>
      </c>
      <c r="H127">
        <v>4</v>
      </c>
      <c r="I127">
        <v>49</v>
      </c>
      <c r="J127">
        <v>8</v>
      </c>
      <c r="K127">
        <v>1</v>
      </c>
      <c r="L127">
        <v>1</v>
      </c>
      <c r="M127" t="s">
        <v>17</v>
      </c>
    </row>
    <row r="128" spans="1:13" x14ac:dyDescent="0.3">
      <c r="A128" t="s">
        <v>168</v>
      </c>
      <c r="B128" t="s">
        <v>24</v>
      </c>
      <c r="C128" t="s">
        <v>52</v>
      </c>
      <c r="D128" t="s">
        <v>30</v>
      </c>
      <c r="E128">
        <v>26</v>
      </c>
      <c r="F128">
        <v>7</v>
      </c>
      <c r="G128">
        <v>35415</v>
      </c>
      <c r="H128">
        <v>2</v>
      </c>
      <c r="I128">
        <v>31</v>
      </c>
      <c r="J128">
        <v>5</v>
      </c>
      <c r="K128">
        <v>1</v>
      </c>
      <c r="L128">
        <v>2</v>
      </c>
      <c r="M128" t="s">
        <v>17</v>
      </c>
    </row>
    <row r="129" spans="1:13" x14ac:dyDescent="0.3">
      <c r="A129" t="s">
        <v>169</v>
      </c>
      <c r="B129" t="s">
        <v>43</v>
      </c>
      <c r="C129" t="s">
        <v>59</v>
      </c>
      <c r="D129" t="s">
        <v>16</v>
      </c>
      <c r="E129">
        <v>43</v>
      </c>
      <c r="F129">
        <v>4</v>
      </c>
      <c r="G129">
        <v>39400</v>
      </c>
      <c r="H129">
        <v>4</v>
      </c>
      <c r="I129">
        <v>33</v>
      </c>
      <c r="J129">
        <v>9</v>
      </c>
      <c r="K129">
        <v>4</v>
      </c>
      <c r="L129">
        <v>5</v>
      </c>
      <c r="M129" t="s">
        <v>17</v>
      </c>
    </row>
    <row r="130" spans="1:13" x14ac:dyDescent="0.3">
      <c r="A130" t="s">
        <v>170</v>
      </c>
      <c r="B130" t="s">
        <v>35</v>
      </c>
      <c r="C130" t="s">
        <v>83</v>
      </c>
      <c r="D130" t="s">
        <v>30</v>
      </c>
      <c r="E130">
        <v>33</v>
      </c>
      <c r="F130">
        <v>8</v>
      </c>
      <c r="G130">
        <v>54780</v>
      </c>
      <c r="H130">
        <v>5</v>
      </c>
      <c r="I130">
        <v>28</v>
      </c>
      <c r="J130">
        <v>5</v>
      </c>
      <c r="K130">
        <v>1</v>
      </c>
      <c r="L130">
        <v>1</v>
      </c>
      <c r="M130" t="s">
        <v>17</v>
      </c>
    </row>
    <row r="131" spans="1:13" x14ac:dyDescent="0.3">
      <c r="A131" t="s">
        <v>171</v>
      </c>
      <c r="B131" t="s">
        <v>14</v>
      </c>
      <c r="C131" t="s">
        <v>49</v>
      </c>
      <c r="D131" t="s">
        <v>16</v>
      </c>
      <c r="E131">
        <v>29</v>
      </c>
      <c r="F131">
        <v>10</v>
      </c>
      <c r="G131">
        <v>43603</v>
      </c>
      <c r="H131">
        <v>3</v>
      </c>
      <c r="I131">
        <v>11</v>
      </c>
      <c r="J131">
        <v>3</v>
      </c>
      <c r="K131">
        <v>4</v>
      </c>
      <c r="L131">
        <v>1</v>
      </c>
      <c r="M131" t="s">
        <v>33</v>
      </c>
    </row>
    <row r="132" spans="1:13" x14ac:dyDescent="0.3">
      <c r="A132" t="s">
        <v>172</v>
      </c>
      <c r="B132" t="s">
        <v>35</v>
      </c>
      <c r="C132" t="s">
        <v>41</v>
      </c>
      <c r="D132" t="s">
        <v>16</v>
      </c>
      <c r="E132">
        <v>35</v>
      </c>
      <c r="F132">
        <v>9</v>
      </c>
      <c r="G132">
        <v>85696</v>
      </c>
      <c r="H132">
        <v>4</v>
      </c>
      <c r="I132">
        <v>42</v>
      </c>
      <c r="J132">
        <v>1</v>
      </c>
      <c r="K132">
        <v>5</v>
      </c>
      <c r="L132">
        <v>5</v>
      </c>
      <c r="M132" t="s">
        <v>17</v>
      </c>
    </row>
    <row r="133" spans="1:13" x14ac:dyDescent="0.3">
      <c r="A133" t="s">
        <v>173</v>
      </c>
      <c r="B133" t="s">
        <v>19</v>
      </c>
      <c r="C133" t="s">
        <v>20</v>
      </c>
      <c r="D133" t="s">
        <v>16</v>
      </c>
      <c r="E133">
        <v>37</v>
      </c>
      <c r="F133">
        <v>3</v>
      </c>
      <c r="G133">
        <v>31294</v>
      </c>
      <c r="H133">
        <v>4</v>
      </c>
      <c r="I133">
        <v>38</v>
      </c>
      <c r="J133">
        <v>9</v>
      </c>
      <c r="K133">
        <v>3</v>
      </c>
      <c r="L133">
        <v>2</v>
      </c>
      <c r="M133" t="s">
        <v>17</v>
      </c>
    </row>
    <row r="134" spans="1:13" x14ac:dyDescent="0.3">
      <c r="A134" t="s">
        <v>174</v>
      </c>
      <c r="B134" t="s">
        <v>43</v>
      </c>
      <c r="C134" t="s">
        <v>72</v>
      </c>
      <c r="D134" t="s">
        <v>30</v>
      </c>
      <c r="E134">
        <v>44</v>
      </c>
      <c r="F134">
        <v>6</v>
      </c>
      <c r="G134">
        <v>81027</v>
      </c>
      <c r="H134">
        <v>2</v>
      </c>
      <c r="I134">
        <v>34</v>
      </c>
      <c r="J134">
        <v>9</v>
      </c>
      <c r="K134">
        <v>1</v>
      </c>
      <c r="L134">
        <v>3</v>
      </c>
      <c r="M134" t="s">
        <v>17</v>
      </c>
    </row>
    <row r="135" spans="1:13" x14ac:dyDescent="0.3">
      <c r="A135" t="s">
        <v>175</v>
      </c>
      <c r="B135" t="s">
        <v>35</v>
      </c>
      <c r="C135" t="s">
        <v>41</v>
      </c>
      <c r="D135" t="s">
        <v>30</v>
      </c>
      <c r="E135">
        <v>23</v>
      </c>
      <c r="F135">
        <v>15</v>
      </c>
      <c r="G135">
        <v>48532</v>
      </c>
      <c r="H135">
        <v>1</v>
      </c>
      <c r="I135">
        <v>14</v>
      </c>
      <c r="J135">
        <v>7</v>
      </c>
      <c r="K135">
        <v>5</v>
      </c>
      <c r="L135">
        <v>1</v>
      </c>
      <c r="M135" t="s">
        <v>17</v>
      </c>
    </row>
    <row r="136" spans="1:13" x14ac:dyDescent="0.3">
      <c r="A136" t="s">
        <v>176</v>
      </c>
      <c r="B136" t="s">
        <v>14</v>
      </c>
      <c r="C136" t="s">
        <v>38</v>
      </c>
      <c r="D136" t="s">
        <v>16</v>
      </c>
      <c r="E136">
        <v>32</v>
      </c>
      <c r="F136">
        <v>1</v>
      </c>
      <c r="G136">
        <v>84347</v>
      </c>
      <c r="H136">
        <v>3</v>
      </c>
      <c r="I136">
        <v>40</v>
      </c>
      <c r="J136">
        <v>7</v>
      </c>
      <c r="K136">
        <v>1</v>
      </c>
      <c r="L136">
        <v>4</v>
      </c>
      <c r="M136" t="s">
        <v>17</v>
      </c>
    </row>
    <row r="137" spans="1:13" x14ac:dyDescent="0.3">
      <c r="A137" t="s">
        <v>177</v>
      </c>
      <c r="B137" t="s">
        <v>28</v>
      </c>
      <c r="C137" t="s">
        <v>46</v>
      </c>
      <c r="D137" t="s">
        <v>30</v>
      </c>
      <c r="E137">
        <v>26</v>
      </c>
      <c r="F137">
        <v>11</v>
      </c>
      <c r="G137">
        <v>87574</v>
      </c>
      <c r="H137">
        <v>3</v>
      </c>
      <c r="I137">
        <v>24</v>
      </c>
      <c r="J137">
        <v>5</v>
      </c>
      <c r="K137">
        <v>5</v>
      </c>
      <c r="L137">
        <v>5</v>
      </c>
      <c r="M137" t="s">
        <v>33</v>
      </c>
    </row>
    <row r="138" spans="1:13" x14ac:dyDescent="0.3">
      <c r="A138" t="s">
        <v>178</v>
      </c>
      <c r="B138" t="s">
        <v>28</v>
      </c>
      <c r="C138" t="s">
        <v>46</v>
      </c>
      <c r="D138" t="s">
        <v>30</v>
      </c>
      <c r="E138">
        <v>25</v>
      </c>
      <c r="F138">
        <v>3</v>
      </c>
      <c r="G138">
        <v>59650</v>
      </c>
      <c r="H138">
        <v>5</v>
      </c>
      <c r="I138">
        <v>7</v>
      </c>
      <c r="J138">
        <v>3</v>
      </c>
      <c r="K138">
        <v>4</v>
      </c>
      <c r="L138">
        <v>3</v>
      </c>
      <c r="M138" t="s">
        <v>17</v>
      </c>
    </row>
    <row r="139" spans="1:13" x14ac:dyDescent="0.3">
      <c r="A139" t="s">
        <v>179</v>
      </c>
      <c r="B139" t="s">
        <v>28</v>
      </c>
      <c r="C139" t="s">
        <v>46</v>
      </c>
      <c r="D139" t="s">
        <v>30</v>
      </c>
      <c r="E139">
        <v>29</v>
      </c>
      <c r="F139">
        <v>1</v>
      </c>
      <c r="G139">
        <v>79881</v>
      </c>
      <c r="H139">
        <v>4</v>
      </c>
      <c r="I139">
        <v>9</v>
      </c>
      <c r="J139">
        <v>7</v>
      </c>
      <c r="K139">
        <v>3</v>
      </c>
      <c r="L139">
        <v>5</v>
      </c>
      <c r="M139" t="s">
        <v>17</v>
      </c>
    </row>
    <row r="140" spans="1:13" x14ac:dyDescent="0.3">
      <c r="A140" t="s">
        <v>180</v>
      </c>
      <c r="B140" t="s">
        <v>19</v>
      </c>
      <c r="C140" t="s">
        <v>20</v>
      </c>
      <c r="D140" t="s">
        <v>16</v>
      </c>
      <c r="E140">
        <v>48</v>
      </c>
      <c r="F140">
        <v>4</v>
      </c>
      <c r="G140">
        <v>41297</v>
      </c>
      <c r="H140">
        <v>2</v>
      </c>
      <c r="I140">
        <v>42</v>
      </c>
      <c r="J140">
        <v>11</v>
      </c>
      <c r="K140">
        <v>1</v>
      </c>
      <c r="L140">
        <v>3</v>
      </c>
      <c r="M140" t="s">
        <v>17</v>
      </c>
    </row>
    <row r="141" spans="1:13" x14ac:dyDescent="0.3">
      <c r="A141" t="s">
        <v>181</v>
      </c>
      <c r="B141" t="s">
        <v>24</v>
      </c>
      <c r="C141" t="s">
        <v>52</v>
      </c>
      <c r="D141" t="s">
        <v>30</v>
      </c>
      <c r="E141">
        <v>39</v>
      </c>
      <c r="F141">
        <v>7</v>
      </c>
      <c r="G141">
        <v>51517</v>
      </c>
      <c r="H141">
        <v>2</v>
      </c>
      <c r="I141">
        <v>45</v>
      </c>
      <c r="J141">
        <v>4</v>
      </c>
      <c r="K141">
        <v>1</v>
      </c>
      <c r="L141">
        <v>5</v>
      </c>
      <c r="M141" t="s">
        <v>33</v>
      </c>
    </row>
    <row r="142" spans="1:13" x14ac:dyDescent="0.3">
      <c r="A142" t="s">
        <v>182</v>
      </c>
      <c r="B142" t="s">
        <v>19</v>
      </c>
      <c r="C142" t="s">
        <v>22</v>
      </c>
      <c r="D142" t="s">
        <v>30</v>
      </c>
      <c r="E142">
        <v>37</v>
      </c>
      <c r="F142">
        <v>14</v>
      </c>
      <c r="G142">
        <v>80548</v>
      </c>
      <c r="H142">
        <v>5</v>
      </c>
      <c r="I142">
        <v>15</v>
      </c>
      <c r="J142">
        <v>12</v>
      </c>
      <c r="K142">
        <v>2</v>
      </c>
      <c r="L142">
        <v>2</v>
      </c>
      <c r="M142" t="s">
        <v>17</v>
      </c>
    </row>
    <row r="143" spans="1:13" x14ac:dyDescent="0.3">
      <c r="A143" t="s">
        <v>183</v>
      </c>
      <c r="B143" t="s">
        <v>35</v>
      </c>
      <c r="C143" t="s">
        <v>83</v>
      </c>
      <c r="D143" t="s">
        <v>30</v>
      </c>
      <c r="E143">
        <v>26</v>
      </c>
      <c r="F143">
        <v>5</v>
      </c>
      <c r="G143">
        <v>30925</v>
      </c>
      <c r="H143">
        <v>4</v>
      </c>
      <c r="I143">
        <v>6</v>
      </c>
      <c r="J143">
        <v>9</v>
      </c>
      <c r="K143">
        <v>2</v>
      </c>
      <c r="L143">
        <v>2</v>
      </c>
      <c r="M143" t="s">
        <v>17</v>
      </c>
    </row>
    <row r="144" spans="1:13" x14ac:dyDescent="0.3">
      <c r="A144" t="s">
        <v>184</v>
      </c>
      <c r="B144" t="s">
        <v>35</v>
      </c>
      <c r="C144" t="s">
        <v>88</v>
      </c>
      <c r="D144" t="s">
        <v>16</v>
      </c>
      <c r="E144">
        <v>31</v>
      </c>
      <c r="F144">
        <v>14</v>
      </c>
      <c r="G144">
        <v>30599</v>
      </c>
      <c r="H144">
        <v>2</v>
      </c>
      <c r="I144">
        <v>32</v>
      </c>
      <c r="J144">
        <v>1</v>
      </c>
      <c r="K144">
        <v>5</v>
      </c>
      <c r="L144">
        <v>3</v>
      </c>
      <c r="M144" t="s">
        <v>17</v>
      </c>
    </row>
    <row r="145" spans="1:13" x14ac:dyDescent="0.3">
      <c r="A145" t="s">
        <v>185</v>
      </c>
      <c r="B145" t="s">
        <v>19</v>
      </c>
      <c r="C145" t="s">
        <v>32</v>
      </c>
      <c r="D145" t="s">
        <v>16</v>
      </c>
      <c r="E145">
        <v>27</v>
      </c>
      <c r="F145">
        <v>13</v>
      </c>
      <c r="G145">
        <v>52435</v>
      </c>
      <c r="H145">
        <v>4</v>
      </c>
      <c r="I145">
        <v>48</v>
      </c>
      <c r="J145">
        <v>3</v>
      </c>
      <c r="K145">
        <v>1</v>
      </c>
      <c r="L145">
        <v>5</v>
      </c>
      <c r="M145" t="s">
        <v>33</v>
      </c>
    </row>
    <row r="146" spans="1:13" x14ac:dyDescent="0.3">
      <c r="A146" t="s">
        <v>186</v>
      </c>
      <c r="B146" t="s">
        <v>24</v>
      </c>
      <c r="C146" t="s">
        <v>65</v>
      </c>
      <c r="D146" t="s">
        <v>30</v>
      </c>
      <c r="E146">
        <v>28</v>
      </c>
      <c r="F146">
        <v>4</v>
      </c>
      <c r="G146">
        <v>85102</v>
      </c>
      <c r="H146">
        <v>4</v>
      </c>
      <c r="I146">
        <v>23</v>
      </c>
      <c r="J146">
        <v>5</v>
      </c>
      <c r="K146">
        <v>2</v>
      </c>
      <c r="L146">
        <v>2</v>
      </c>
      <c r="M146" t="s">
        <v>17</v>
      </c>
    </row>
    <row r="147" spans="1:13" x14ac:dyDescent="0.3">
      <c r="A147" t="s">
        <v>187</v>
      </c>
      <c r="B147" t="s">
        <v>14</v>
      </c>
      <c r="C147" t="s">
        <v>49</v>
      </c>
      <c r="D147" t="s">
        <v>16</v>
      </c>
      <c r="E147">
        <v>28</v>
      </c>
      <c r="F147">
        <v>10</v>
      </c>
      <c r="G147">
        <v>49968</v>
      </c>
      <c r="H147">
        <v>4</v>
      </c>
      <c r="I147">
        <v>37</v>
      </c>
      <c r="J147">
        <v>11</v>
      </c>
      <c r="K147">
        <v>2</v>
      </c>
      <c r="L147">
        <v>4</v>
      </c>
      <c r="M147" t="s">
        <v>17</v>
      </c>
    </row>
    <row r="148" spans="1:13" x14ac:dyDescent="0.3">
      <c r="A148" t="s">
        <v>188</v>
      </c>
      <c r="B148" t="s">
        <v>35</v>
      </c>
      <c r="C148" t="s">
        <v>88</v>
      </c>
      <c r="D148" t="s">
        <v>16</v>
      </c>
      <c r="E148">
        <v>24</v>
      </c>
      <c r="F148">
        <v>5</v>
      </c>
      <c r="G148">
        <v>45724</v>
      </c>
      <c r="H148">
        <v>1</v>
      </c>
      <c r="I148">
        <v>8</v>
      </c>
      <c r="J148">
        <v>8</v>
      </c>
      <c r="K148">
        <v>4</v>
      </c>
      <c r="L148">
        <v>2</v>
      </c>
      <c r="M148" t="s">
        <v>17</v>
      </c>
    </row>
    <row r="149" spans="1:13" x14ac:dyDescent="0.3">
      <c r="A149" t="s">
        <v>189</v>
      </c>
      <c r="B149" t="s">
        <v>14</v>
      </c>
      <c r="C149" t="s">
        <v>38</v>
      </c>
      <c r="D149" t="s">
        <v>30</v>
      </c>
      <c r="E149">
        <v>26</v>
      </c>
      <c r="F149">
        <v>9</v>
      </c>
      <c r="G149">
        <v>86266</v>
      </c>
      <c r="H149">
        <v>5</v>
      </c>
      <c r="I149">
        <v>51</v>
      </c>
      <c r="J149">
        <v>10</v>
      </c>
      <c r="K149">
        <v>3</v>
      </c>
      <c r="L149">
        <v>5</v>
      </c>
      <c r="M149" t="s">
        <v>33</v>
      </c>
    </row>
    <row r="150" spans="1:13" x14ac:dyDescent="0.3">
      <c r="A150" t="s">
        <v>190</v>
      </c>
      <c r="B150" t="s">
        <v>24</v>
      </c>
      <c r="C150" t="s">
        <v>65</v>
      </c>
      <c r="D150" t="s">
        <v>16</v>
      </c>
      <c r="E150">
        <v>35</v>
      </c>
      <c r="F150">
        <v>4</v>
      </c>
      <c r="G150">
        <v>82484</v>
      </c>
      <c r="H150">
        <v>4</v>
      </c>
      <c r="I150">
        <v>31</v>
      </c>
      <c r="J150">
        <v>12</v>
      </c>
      <c r="K150">
        <v>3</v>
      </c>
      <c r="L150">
        <v>5</v>
      </c>
      <c r="M150" t="s">
        <v>17</v>
      </c>
    </row>
    <row r="151" spans="1:13" x14ac:dyDescent="0.3">
      <c r="A151" t="s">
        <v>191</v>
      </c>
      <c r="B151" t="s">
        <v>28</v>
      </c>
      <c r="C151" t="s">
        <v>29</v>
      </c>
      <c r="D151" t="s">
        <v>16</v>
      </c>
      <c r="E151">
        <v>42</v>
      </c>
      <c r="F151">
        <v>13</v>
      </c>
      <c r="G151">
        <v>86902</v>
      </c>
      <c r="H151">
        <v>1</v>
      </c>
      <c r="I151">
        <v>13</v>
      </c>
      <c r="J151">
        <v>10</v>
      </c>
      <c r="K151">
        <v>2</v>
      </c>
      <c r="L151">
        <v>3</v>
      </c>
      <c r="M151" t="s">
        <v>17</v>
      </c>
    </row>
    <row r="152" spans="1:13" x14ac:dyDescent="0.3">
      <c r="A152" t="s">
        <v>192</v>
      </c>
      <c r="B152" t="s">
        <v>35</v>
      </c>
      <c r="C152" t="s">
        <v>36</v>
      </c>
      <c r="D152" t="s">
        <v>16</v>
      </c>
      <c r="E152">
        <v>22</v>
      </c>
      <c r="F152">
        <v>2</v>
      </c>
      <c r="G152">
        <v>65151</v>
      </c>
      <c r="H152">
        <v>4</v>
      </c>
      <c r="I152">
        <v>52</v>
      </c>
      <c r="J152">
        <v>1</v>
      </c>
      <c r="K152">
        <v>5</v>
      </c>
      <c r="L152">
        <v>5</v>
      </c>
      <c r="M152" t="s">
        <v>17</v>
      </c>
    </row>
    <row r="153" spans="1:13" x14ac:dyDescent="0.3">
      <c r="A153" t="s">
        <v>193</v>
      </c>
      <c r="B153" t="s">
        <v>35</v>
      </c>
      <c r="C153" t="s">
        <v>41</v>
      </c>
      <c r="D153" t="s">
        <v>30</v>
      </c>
      <c r="E153">
        <v>44</v>
      </c>
      <c r="F153">
        <v>13</v>
      </c>
      <c r="G153">
        <v>43182</v>
      </c>
      <c r="H153">
        <v>2</v>
      </c>
      <c r="I153">
        <v>41</v>
      </c>
      <c r="J153">
        <v>1</v>
      </c>
      <c r="K153">
        <v>2</v>
      </c>
      <c r="L153">
        <v>2</v>
      </c>
      <c r="M153" t="s">
        <v>17</v>
      </c>
    </row>
    <row r="154" spans="1:13" x14ac:dyDescent="0.3">
      <c r="A154" t="s">
        <v>194</v>
      </c>
      <c r="B154" t="s">
        <v>19</v>
      </c>
      <c r="C154" t="s">
        <v>20</v>
      </c>
      <c r="D154" t="s">
        <v>16</v>
      </c>
      <c r="E154">
        <v>44</v>
      </c>
      <c r="F154">
        <v>15</v>
      </c>
      <c r="G154">
        <v>84190</v>
      </c>
      <c r="H154">
        <v>2</v>
      </c>
      <c r="I154">
        <v>33</v>
      </c>
      <c r="J154">
        <v>5</v>
      </c>
      <c r="K154">
        <v>2</v>
      </c>
      <c r="L154">
        <v>3</v>
      </c>
      <c r="M154" t="s">
        <v>17</v>
      </c>
    </row>
    <row r="155" spans="1:13" x14ac:dyDescent="0.3">
      <c r="A155" t="s">
        <v>195</v>
      </c>
      <c r="B155" t="s">
        <v>19</v>
      </c>
      <c r="C155" t="s">
        <v>32</v>
      </c>
      <c r="D155" t="s">
        <v>16</v>
      </c>
      <c r="E155">
        <v>27</v>
      </c>
      <c r="F155">
        <v>8</v>
      </c>
      <c r="G155">
        <v>56333</v>
      </c>
      <c r="H155">
        <v>5</v>
      </c>
      <c r="I155">
        <v>41</v>
      </c>
      <c r="J155">
        <v>11</v>
      </c>
      <c r="K155">
        <v>3</v>
      </c>
      <c r="L155">
        <v>3</v>
      </c>
      <c r="M155" t="s">
        <v>17</v>
      </c>
    </row>
    <row r="156" spans="1:13" x14ac:dyDescent="0.3">
      <c r="A156" t="s">
        <v>196</v>
      </c>
      <c r="B156" t="s">
        <v>19</v>
      </c>
      <c r="C156" t="s">
        <v>22</v>
      </c>
      <c r="D156" t="s">
        <v>16</v>
      </c>
      <c r="E156">
        <v>49</v>
      </c>
      <c r="F156">
        <v>14</v>
      </c>
      <c r="G156">
        <v>64504</v>
      </c>
      <c r="H156">
        <v>2</v>
      </c>
      <c r="I156">
        <v>13</v>
      </c>
      <c r="J156">
        <v>5</v>
      </c>
      <c r="K156">
        <v>2</v>
      </c>
      <c r="L156">
        <v>3</v>
      </c>
      <c r="M156" t="s">
        <v>33</v>
      </c>
    </row>
    <row r="157" spans="1:13" x14ac:dyDescent="0.3">
      <c r="A157" t="s">
        <v>197</v>
      </c>
      <c r="B157" t="s">
        <v>24</v>
      </c>
      <c r="C157" t="s">
        <v>25</v>
      </c>
      <c r="D157" t="s">
        <v>16</v>
      </c>
      <c r="E157">
        <v>31</v>
      </c>
      <c r="F157">
        <v>10</v>
      </c>
      <c r="G157">
        <v>44390</v>
      </c>
      <c r="H157">
        <v>1</v>
      </c>
      <c r="I157">
        <v>60</v>
      </c>
      <c r="J157">
        <v>12</v>
      </c>
      <c r="K157">
        <v>2</v>
      </c>
      <c r="L157">
        <v>4</v>
      </c>
      <c r="M157" t="s">
        <v>17</v>
      </c>
    </row>
    <row r="158" spans="1:13" x14ac:dyDescent="0.3">
      <c r="A158" t="s">
        <v>198</v>
      </c>
      <c r="B158" t="s">
        <v>19</v>
      </c>
      <c r="C158" t="s">
        <v>20</v>
      </c>
      <c r="D158" t="s">
        <v>30</v>
      </c>
      <c r="E158">
        <v>36</v>
      </c>
      <c r="F158">
        <v>0</v>
      </c>
      <c r="G158">
        <v>66261</v>
      </c>
      <c r="H158">
        <v>1</v>
      </c>
      <c r="I158">
        <v>47</v>
      </c>
      <c r="J158">
        <v>8</v>
      </c>
      <c r="K158">
        <v>5</v>
      </c>
      <c r="L158">
        <v>2</v>
      </c>
      <c r="M158" t="s">
        <v>17</v>
      </c>
    </row>
    <row r="159" spans="1:13" x14ac:dyDescent="0.3">
      <c r="A159" t="s">
        <v>199</v>
      </c>
      <c r="B159" t="s">
        <v>43</v>
      </c>
      <c r="C159" t="s">
        <v>72</v>
      </c>
      <c r="D159" t="s">
        <v>16</v>
      </c>
      <c r="E159">
        <v>39</v>
      </c>
      <c r="F159">
        <v>5</v>
      </c>
      <c r="G159">
        <v>68264</v>
      </c>
      <c r="H159">
        <v>4</v>
      </c>
      <c r="I159">
        <v>19</v>
      </c>
      <c r="J159">
        <v>10</v>
      </c>
      <c r="K159">
        <v>4</v>
      </c>
      <c r="L159">
        <v>1</v>
      </c>
      <c r="M159" t="s">
        <v>17</v>
      </c>
    </row>
    <row r="160" spans="1:13" x14ac:dyDescent="0.3">
      <c r="A160" t="s">
        <v>200</v>
      </c>
      <c r="B160" t="s">
        <v>28</v>
      </c>
      <c r="C160" t="s">
        <v>46</v>
      </c>
      <c r="D160" t="s">
        <v>30</v>
      </c>
      <c r="E160">
        <v>31</v>
      </c>
      <c r="F160">
        <v>11</v>
      </c>
      <c r="G160">
        <v>30259</v>
      </c>
      <c r="H160">
        <v>1</v>
      </c>
      <c r="I160">
        <v>23</v>
      </c>
      <c r="J160">
        <v>3</v>
      </c>
      <c r="K160">
        <v>1</v>
      </c>
      <c r="L160">
        <v>5</v>
      </c>
      <c r="M160" t="s">
        <v>17</v>
      </c>
    </row>
    <row r="161" spans="1:13" x14ac:dyDescent="0.3">
      <c r="A161" t="s">
        <v>201</v>
      </c>
      <c r="B161" t="s">
        <v>19</v>
      </c>
      <c r="C161" t="s">
        <v>22</v>
      </c>
      <c r="D161" t="s">
        <v>30</v>
      </c>
      <c r="E161">
        <v>35</v>
      </c>
      <c r="F161">
        <v>3</v>
      </c>
      <c r="G161">
        <v>71569</v>
      </c>
      <c r="H161">
        <v>3</v>
      </c>
      <c r="I161">
        <v>44</v>
      </c>
      <c r="J161">
        <v>2</v>
      </c>
      <c r="K161">
        <v>1</v>
      </c>
      <c r="L161">
        <v>4</v>
      </c>
      <c r="M161" t="s">
        <v>33</v>
      </c>
    </row>
    <row r="162" spans="1:13" x14ac:dyDescent="0.3">
      <c r="A162" t="s">
        <v>202</v>
      </c>
      <c r="B162" t="s">
        <v>14</v>
      </c>
      <c r="C162" t="s">
        <v>15</v>
      </c>
      <c r="D162" t="s">
        <v>30</v>
      </c>
      <c r="E162">
        <v>42</v>
      </c>
      <c r="F162">
        <v>11</v>
      </c>
      <c r="G162">
        <v>55412</v>
      </c>
      <c r="H162">
        <v>2</v>
      </c>
      <c r="I162">
        <v>50</v>
      </c>
      <c r="J162">
        <v>3</v>
      </c>
      <c r="K162">
        <v>4</v>
      </c>
      <c r="L162">
        <v>3</v>
      </c>
      <c r="M162" t="s">
        <v>17</v>
      </c>
    </row>
    <row r="163" spans="1:13" x14ac:dyDescent="0.3">
      <c r="A163" t="s">
        <v>203</v>
      </c>
      <c r="B163" t="s">
        <v>19</v>
      </c>
      <c r="C163" t="s">
        <v>22</v>
      </c>
      <c r="D163" t="s">
        <v>30</v>
      </c>
      <c r="E163">
        <v>27</v>
      </c>
      <c r="F163">
        <v>12</v>
      </c>
      <c r="G163">
        <v>88348</v>
      </c>
      <c r="H163">
        <v>5</v>
      </c>
      <c r="I163">
        <v>22</v>
      </c>
      <c r="J163">
        <v>4</v>
      </c>
      <c r="K163">
        <v>3</v>
      </c>
      <c r="L163">
        <v>5</v>
      </c>
      <c r="M163" t="s">
        <v>17</v>
      </c>
    </row>
    <row r="164" spans="1:13" x14ac:dyDescent="0.3">
      <c r="A164" t="s">
        <v>204</v>
      </c>
      <c r="B164" t="s">
        <v>43</v>
      </c>
      <c r="C164" t="s">
        <v>72</v>
      </c>
      <c r="D164" t="s">
        <v>30</v>
      </c>
      <c r="E164">
        <v>22</v>
      </c>
      <c r="F164">
        <v>1</v>
      </c>
      <c r="G164">
        <v>41273</v>
      </c>
      <c r="H164">
        <v>4</v>
      </c>
      <c r="I164">
        <v>17</v>
      </c>
      <c r="J164">
        <v>9</v>
      </c>
      <c r="K164">
        <v>2</v>
      </c>
      <c r="L164">
        <v>1</v>
      </c>
      <c r="M164" t="s">
        <v>17</v>
      </c>
    </row>
    <row r="165" spans="1:13" x14ac:dyDescent="0.3">
      <c r="A165" t="s">
        <v>205</v>
      </c>
      <c r="B165" t="s">
        <v>14</v>
      </c>
      <c r="C165" t="s">
        <v>49</v>
      </c>
      <c r="D165" t="s">
        <v>30</v>
      </c>
      <c r="E165">
        <v>28</v>
      </c>
      <c r="F165">
        <v>9</v>
      </c>
      <c r="G165">
        <v>43382</v>
      </c>
      <c r="H165">
        <v>5</v>
      </c>
      <c r="I165">
        <v>42</v>
      </c>
      <c r="J165">
        <v>11</v>
      </c>
      <c r="K165">
        <v>4</v>
      </c>
      <c r="L165">
        <v>2</v>
      </c>
      <c r="M165" t="s">
        <v>17</v>
      </c>
    </row>
    <row r="166" spans="1:13" x14ac:dyDescent="0.3">
      <c r="A166" t="s">
        <v>206</v>
      </c>
      <c r="B166" t="s">
        <v>43</v>
      </c>
      <c r="C166" t="s">
        <v>44</v>
      </c>
      <c r="D166" t="s">
        <v>30</v>
      </c>
      <c r="E166">
        <v>25</v>
      </c>
      <c r="F166">
        <v>15</v>
      </c>
      <c r="G166">
        <v>30249</v>
      </c>
      <c r="H166">
        <v>1</v>
      </c>
      <c r="I166">
        <v>58</v>
      </c>
      <c r="J166">
        <v>7</v>
      </c>
      <c r="K166">
        <v>3</v>
      </c>
      <c r="L166">
        <v>3</v>
      </c>
      <c r="M166" t="s">
        <v>17</v>
      </c>
    </row>
    <row r="167" spans="1:13" x14ac:dyDescent="0.3">
      <c r="A167" t="s">
        <v>207</v>
      </c>
      <c r="B167" t="s">
        <v>24</v>
      </c>
      <c r="C167" t="s">
        <v>65</v>
      </c>
      <c r="D167" t="s">
        <v>30</v>
      </c>
      <c r="E167">
        <v>42</v>
      </c>
      <c r="F167">
        <v>11</v>
      </c>
      <c r="G167">
        <v>33730</v>
      </c>
      <c r="H167">
        <v>5</v>
      </c>
      <c r="I167">
        <v>42</v>
      </c>
      <c r="J167">
        <v>7</v>
      </c>
      <c r="K167">
        <v>4</v>
      </c>
      <c r="L167">
        <v>1</v>
      </c>
      <c r="M167" t="s">
        <v>17</v>
      </c>
    </row>
    <row r="168" spans="1:13" x14ac:dyDescent="0.3">
      <c r="A168" t="s">
        <v>208</v>
      </c>
      <c r="B168" t="s">
        <v>14</v>
      </c>
      <c r="C168" t="s">
        <v>15</v>
      </c>
      <c r="D168" t="s">
        <v>16</v>
      </c>
      <c r="E168">
        <v>48</v>
      </c>
      <c r="F168">
        <v>3</v>
      </c>
      <c r="G168">
        <v>84193</v>
      </c>
      <c r="H168">
        <v>1</v>
      </c>
      <c r="I168">
        <v>23</v>
      </c>
      <c r="J168">
        <v>6</v>
      </c>
      <c r="K168">
        <v>1</v>
      </c>
      <c r="L168">
        <v>5</v>
      </c>
      <c r="M168" t="s">
        <v>17</v>
      </c>
    </row>
    <row r="169" spans="1:13" x14ac:dyDescent="0.3">
      <c r="A169" t="s">
        <v>209</v>
      </c>
      <c r="B169" t="s">
        <v>43</v>
      </c>
      <c r="C169" t="s">
        <v>72</v>
      </c>
      <c r="D169" t="s">
        <v>16</v>
      </c>
      <c r="E169">
        <v>25</v>
      </c>
      <c r="F169">
        <v>11</v>
      </c>
      <c r="G169">
        <v>43222</v>
      </c>
      <c r="H169">
        <v>3</v>
      </c>
      <c r="I169">
        <v>56</v>
      </c>
      <c r="J169">
        <v>3</v>
      </c>
      <c r="K169">
        <v>5</v>
      </c>
      <c r="L169">
        <v>1</v>
      </c>
      <c r="M169" t="s">
        <v>17</v>
      </c>
    </row>
    <row r="170" spans="1:13" x14ac:dyDescent="0.3">
      <c r="A170" t="s">
        <v>210</v>
      </c>
      <c r="B170" t="s">
        <v>28</v>
      </c>
      <c r="C170" t="s">
        <v>29</v>
      </c>
      <c r="D170" t="s">
        <v>16</v>
      </c>
      <c r="E170">
        <v>35</v>
      </c>
      <c r="F170">
        <v>7</v>
      </c>
      <c r="G170">
        <v>54110</v>
      </c>
      <c r="H170">
        <v>3</v>
      </c>
      <c r="I170">
        <v>29</v>
      </c>
      <c r="J170">
        <v>10</v>
      </c>
      <c r="K170">
        <v>4</v>
      </c>
      <c r="L170">
        <v>2</v>
      </c>
      <c r="M170" t="s">
        <v>17</v>
      </c>
    </row>
    <row r="171" spans="1:13" x14ac:dyDescent="0.3">
      <c r="A171" t="s">
        <v>211</v>
      </c>
      <c r="B171" t="s">
        <v>35</v>
      </c>
      <c r="C171" t="s">
        <v>88</v>
      </c>
      <c r="D171" t="s">
        <v>16</v>
      </c>
      <c r="E171">
        <v>22</v>
      </c>
      <c r="F171">
        <v>9</v>
      </c>
      <c r="G171">
        <v>79478</v>
      </c>
      <c r="H171">
        <v>2</v>
      </c>
      <c r="I171">
        <v>58</v>
      </c>
      <c r="J171">
        <v>3</v>
      </c>
      <c r="K171">
        <v>5</v>
      </c>
      <c r="L171">
        <v>5</v>
      </c>
      <c r="M171" t="s">
        <v>17</v>
      </c>
    </row>
    <row r="172" spans="1:13" x14ac:dyDescent="0.3">
      <c r="A172" t="s">
        <v>212</v>
      </c>
      <c r="B172" t="s">
        <v>24</v>
      </c>
      <c r="C172" t="s">
        <v>52</v>
      </c>
      <c r="D172" t="s">
        <v>30</v>
      </c>
      <c r="E172">
        <v>46</v>
      </c>
      <c r="F172">
        <v>8</v>
      </c>
      <c r="G172">
        <v>43234</v>
      </c>
      <c r="H172">
        <v>4</v>
      </c>
      <c r="I172">
        <v>33</v>
      </c>
      <c r="J172">
        <v>7</v>
      </c>
      <c r="K172">
        <v>1</v>
      </c>
      <c r="L172">
        <v>1</v>
      </c>
      <c r="M172" t="s">
        <v>33</v>
      </c>
    </row>
    <row r="173" spans="1:13" x14ac:dyDescent="0.3">
      <c r="A173" t="s">
        <v>213</v>
      </c>
      <c r="B173" t="s">
        <v>14</v>
      </c>
      <c r="C173" t="s">
        <v>15</v>
      </c>
      <c r="D173" t="s">
        <v>16</v>
      </c>
      <c r="E173">
        <v>47</v>
      </c>
      <c r="F173">
        <v>8</v>
      </c>
      <c r="G173">
        <v>37795</v>
      </c>
      <c r="H173">
        <v>1</v>
      </c>
      <c r="I173">
        <v>34</v>
      </c>
      <c r="J173">
        <v>1</v>
      </c>
      <c r="K173">
        <v>5</v>
      </c>
      <c r="L173">
        <v>2</v>
      </c>
      <c r="M173" t="s">
        <v>17</v>
      </c>
    </row>
    <row r="174" spans="1:13" x14ac:dyDescent="0.3">
      <c r="A174" t="s">
        <v>214</v>
      </c>
      <c r="B174" t="s">
        <v>14</v>
      </c>
      <c r="C174" t="s">
        <v>49</v>
      </c>
      <c r="D174" t="s">
        <v>16</v>
      </c>
      <c r="E174">
        <v>36</v>
      </c>
      <c r="F174">
        <v>0</v>
      </c>
      <c r="G174">
        <v>34414</v>
      </c>
      <c r="H174">
        <v>5</v>
      </c>
      <c r="I174">
        <v>54</v>
      </c>
      <c r="J174">
        <v>3</v>
      </c>
      <c r="K174">
        <v>2</v>
      </c>
      <c r="L174">
        <v>3</v>
      </c>
      <c r="M174" t="s">
        <v>17</v>
      </c>
    </row>
    <row r="175" spans="1:13" x14ac:dyDescent="0.3">
      <c r="A175" t="s">
        <v>215</v>
      </c>
      <c r="B175" t="s">
        <v>43</v>
      </c>
      <c r="C175" t="s">
        <v>59</v>
      </c>
      <c r="D175" t="s">
        <v>30</v>
      </c>
      <c r="E175">
        <v>38</v>
      </c>
      <c r="F175">
        <v>3</v>
      </c>
      <c r="G175">
        <v>72575</v>
      </c>
      <c r="H175">
        <v>5</v>
      </c>
      <c r="I175">
        <v>13</v>
      </c>
      <c r="J175">
        <v>4</v>
      </c>
      <c r="K175">
        <v>5</v>
      </c>
      <c r="L175">
        <v>4</v>
      </c>
      <c r="M175" t="s">
        <v>17</v>
      </c>
    </row>
    <row r="176" spans="1:13" x14ac:dyDescent="0.3">
      <c r="A176" t="s">
        <v>216</v>
      </c>
      <c r="B176" t="s">
        <v>19</v>
      </c>
      <c r="C176" t="s">
        <v>20</v>
      </c>
      <c r="D176" t="s">
        <v>30</v>
      </c>
      <c r="E176">
        <v>34</v>
      </c>
      <c r="F176">
        <v>7</v>
      </c>
      <c r="G176">
        <v>70028</v>
      </c>
      <c r="H176">
        <v>2</v>
      </c>
      <c r="I176">
        <v>35</v>
      </c>
      <c r="J176">
        <v>4</v>
      </c>
      <c r="K176">
        <v>2</v>
      </c>
      <c r="L176">
        <v>3</v>
      </c>
      <c r="M176" t="s">
        <v>33</v>
      </c>
    </row>
    <row r="177" spans="1:13" x14ac:dyDescent="0.3">
      <c r="A177" t="s">
        <v>217</v>
      </c>
      <c r="B177" t="s">
        <v>35</v>
      </c>
      <c r="C177" t="s">
        <v>83</v>
      </c>
      <c r="D177" t="s">
        <v>16</v>
      </c>
      <c r="E177">
        <v>33</v>
      </c>
      <c r="F177">
        <v>15</v>
      </c>
      <c r="G177">
        <v>52335</v>
      </c>
      <c r="H177">
        <v>1</v>
      </c>
      <c r="I177">
        <v>44</v>
      </c>
      <c r="J177">
        <v>11</v>
      </c>
      <c r="K177">
        <v>4</v>
      </c>
      <c r="L177">
        <v>1</v>
      </c>
      <c r="M177" t="s">
        <v>17</v>
      </c>
    </row>
    <row r="178" spans="1:13" x14ac:dyDescent="0.3">
      <c r="A178" t="s">
        <v>218</v>
      </c>
      <c r="B178" t="s">
        <v>28</v>
      </c>
      <c r="C178" t="s">
        <v>61</v>
      </c>
      <c r="D178" t="s">
        <v>30</v>
      </c>
      <c r="E178">
        <v>35</v>
      </c>
      <c r="F178">
        <v>0</v>
      </c>
      <c r="G178">
        <v>80285</v>
      </c>
      <c r="H178">
        <v>3</v>
      </c>
      <c r="I178">
        <v>20</v>
      </c>
      <c r="J178">
        <v>4</v>
      </c>
      <c r="K178">
        <v>5</v>
      </c>
      <c r="L178">
        <v>3</v>
      </c>
      <c r="M178" t="s">
        <v>17</v>
      </c>
    </row>
    <row r="179" spans="1:13" x14ac:dyDescent="0.3">
      <c r="A179" t="s">
        <v>219</v>
      </c>
      <c r="B179" t="s">
        <v>24</v>
      </c>
      <c r="C179" t="s">
        <v>25</v>
      </c>
      <c r="D179" t="s">
        <v>30</v>
      </c>
      <c r="E179">
        <v>35</v>
      </c>
      <c r="F179">
        <v>15</v>
      </c>
      <c r="G179">
        <v>72147</v>
      </c>
      <c r="H179">
        <v>4</v>
      </c>
      <c r="I179">
        <v>14</v>
      </c>
      <c r="J179">
        <v>3</v>
      </c>
      <c r="K179">
        <v>2</v>
      </c>
      <c r="L179">
        <v>3</v>
      </c>
      <c r="M179" t="s">
        <v>17</v>
      </c>
    </row>
    <row r="180" spans="1:13" x14ac:dyDescent="0.3">
      <c r="A180" t="s">
        <v>220</v>
      </c>
      <c r="B180" t="s">
        <v>28</v>
      </c>
      <c r="C180" t="s">
        <v>46</v>
      </c>
      <c r="D180" t="s">
        <v>30</v>
      </c>
      <c r="E180">
        <v>49</v>
      </c>
      <c r="F180">
        <v>10</v>
      </c>
      <c r="G180">
        <v>65653</v>
      </c>
      <c r="H180">
        <v>3</v>
      </c>
      <c r="I180">
        <v>18</v>
      </c>
      <c r="J180">
        <v>1</v>
      </c>
      <c r="K180">
        <v>4</v>
      </c>
      <c r="L180">
        <v>3</v>
      </c>
      <c r="M180" t="s">
        <v>17</v>
      </c>
    </row>
    <row r="181" spans="1:13" x14ac:dyDescent="0.3">
      <c r="A181" t="s">
        <v>221</v>
      </c>
      <c r="B181" t="s">
        <v>24</v>
      </c>
      <c r="C181" t="s">
        <v>25</v>
      </c>
      <c r="D181" t="s">
        <v>16</v>
      </c>
      <c r="E181">
        <v>24</v>
      </c>
      <c r="F181">
        <v>14</v>
      </c>
      <c r="G181">
        <v>47608</v>
      </c>
      <c r="H181">
        <v>3</v>
      </c>
      <c r="I181">
        <v>13</v>
      </c>
      <c r="J181">
        <v>8</v>
      </c>
      <c r="K181">
        <v>5</v>
      </c>
      <c r="L181">
        <v>3</v>
      </c>
      <c r="M181" t="s">
        <v>17</v>
      </c>
    </row>
    <row r="182" spans="1:13" x14ac:dyDescent="0.3">
      <c r="A182" t="s">
        <v>222</v>
      </c>
      <c r="B182" t="s">
        <v>35</v>
      </c>
      <c r="C182" t="s">
        <v>41</v>
      </c>
      <c r="D182" t="s">
        <v>16</v>
      </c>
      <c r="E182">
        <v>50</v>
      </c>
      <c r="F182">
        <v>0</v>
      </c>
      <c r="G182">
        <v>35868</v>
      </c>
      <c r="H182">
        <v>1</v>
      </c>
      <c r="I182">
        <v>50</v>
      </c>
      <c r="J182">
        <v>6</v>
      </c>
      <c r="K182">
        <v>2</v>
      </c>
      <c r="L182">
        <v>3</v>
      </c>
      <c r="M182" t="s">
        <v>17</v>
      </c>
    </row>
    <row r="183" spans="1:13" x14ac:dyDescent="0.3">
      <c r="A183" t="s">
        <v>223</v>
      </c>
      <c r="B183" t="s">
        <v>35</v>
      </c>
      <c r="C183" t="s">
        <v>88</v>
      </c>
      <c r="D183" t="s">
        <v>30</v>
      </c>
      <c r="E183">
        <v>50</v>
      </c>
      <c r="F183">
        <v>10</v>
      </c>
      <c r="G183">
        <v>45403</v>
      </c>
      <c r="H183">
        <v>2</v>
      </c>
      <c r="I183">
        <v>48</v>
      </c>
      <c r="J183">
        <v>2</v>
      </c>
      <c r="K183">
        <v>2</v>
      </c>
      <c r="L183">
        <v>5</v>
      </c>
      <c r="M183" t="s">
        <v>33</v>
      </c>
    </row>
    <row r="184" spans="1:13" x14ac:dyDescent="0.3">
      <c r="A184" t="s">
        <v>224</v>
      </c>
      <c r="B184" t="s">
        <v>28</v>
      </c>
      <c r="C184" t="s">
        <v>61</v>
      </c>
      <c r="D184" t="s">
        <v>16</v>
      </c>
      <c r="E184">
        <v>43</v>
      </c>
      <c r="F184">
        <v>15</v>
      </c>
      <c r="G184">
        <v>37064</v>
      </c>
      <c r="H184">
        <v>1</v>
      </c>
      <c r="I184">
        <v>41</v>
      </c>
      <c r="J184">
        <v>2</v>
      </c>
      <c r="K184">
        <v>2</v>
      </c>
      <c r="L184">
        <v>3</v>
      </c>
      <c r="M184" t="s">
        <v>33</v>
      </c>
    </row>
    <row r="185" spans="1:13" x14ac:dyDescent="0.3">
      <c r="A185" t="s">
        <v>225</v>
      </c>
      <c r="B185" t="s">
        <v>14</v>
      </c>
      <c r="C185" t="s">
        <v>49</v>
      </c>
      <c r="D185" t="s">
        <v>30</v>
      </c>
      <c r="E185">
        <v>37</v>
      </c>
      <c r="F185">
        <v>1</v>
      </c>
      <c r="G185">
        <v>51013</v>
      </c>
      <c r="H185">
        <v>4</v>
      </c>
      <c r="I185">
        <v>19</v>
      </c>
      <c r="J185">
        <v>7</v>
      </c>
      <c r="K185">
        <v>1</v>
      </c>
      <c r="L185">
        <v>4</v>
      </c>
      <c r="M185" t="s">
        <v>17</v>
      </c>
    </row>
    <row r="186" spans="1:13" x14ac:dyDescent="0.3">
      <c r="A186" t="s">
        <v>226</v>
      </c>
      <c r="B186" t="s">
        <v>19</v>
      </c>
      <c r="C186" t="s">
        <v>32</v>
      </c>
      <c r="D186" t="s">
        <v>16</v>
      </c>
      <c r="E186">
        <v>41</v>
      </c>
      <c r="F186">
        <v>4</v>
      </c>
      <c r="G186">
        <v>33855</v>
      </c>
      <c r="H186">
        <v>3</v>
      </c>
      <c r="I186">
        <v>53</v>
      </c>
      <c r="J186">
        <v>12</v>
      </c>
      <c r="K186">
        <v>5</v>
      </c>
      <c r="L186">
        <v>2</v>
      </c>
      <c r="M186" t="s">
        <v>17</v>
      </c>
    </row>
    <row r="187" spans="1:13" x14ac:dyDescent="0.3">
      <c r="A187" t="s">
        <v>227</v>
      </c>
      <c r="B187" t="s">
        <v>14</v>
      </c>
      <c r="C187" t="s">
        <v>38</v>
      </c>
      <c r="D187" t="s">
        <v>16</v>
      </c>
      <c r="E187">
        <v>39</v>
      </c>
      <c r="F187">
        <v>12</v>
      </c>
      <c r="G187">
        <v>72681</v>
      </c>
      <c r="H187">
        <v>4</v>
      </c>
      <c r="I187">
        <v>32</v>
      </c>
      <c r="J187">
        <v>9</v>
      </c>
      <c r="K187">
        <v>1</v>
      </c>
      <c r="L187">
        <v>4</v>
      </c>
      <c r="M187" t="s">
        <v>17</v>
      </c>
    </row>
    <row r="188" spans="1:13" x14ac:dyDescent="0.3">
      <c r="A188" t="s">
        <v>228</v>
      </c>
      <c r="B188" t="s">
        <v>35</v>
      </c>
      <c r="C188" t="s">
        <v>83</v>
      </c>
      <c r="D188" t="s">
        <v>16</v>
      </c>
      <c r="E188">
        <v>36</v>
      </c>
      <c r="F188">
        <v>14</v>
      </c>
      <c r="G188">
        <v>67686</v>
      </c>
      <c r="H188">
        <v>1</v>
      </c>
      <c r="I188">
        <v>38</v>
      </c>
      <c r="J188">
        <v>4</v>
      </c>
      <c r="K188">
        <v>4</v>
      </c>
      <c r="L188">
        <v>3</v>
      </c>
      <c r="M188" t="s">
        <v>17</v>
      </c>
    </row>
    <row r="189" spans="1:13" x14ac:dyDescent="0.3">
      <c r="A189" t="s">
        <v>229</v>
      </c>
      <c r="B189" t="s">
        <v>24</v>
      </c>
      <c r="C189" t="s">
        <v>25</v>
      </c>
      <c r="D189" t="s">
        <v>30</v>
      </c>
      <c r="E189">
        <v>38</v>
      </c>
      <c r="F189">
        <v>14</v>
      </c>
      <c r="G189">
        <v>54635</v>
      </c>
      <c r="H189">
        <v>3</v>
      </c>
      <c r="I189">
        <v>14</v>
      </c>
      <c r="J189">
        <v>6</v>
      </c>
      <c r="K189">
        <v>5</v>
      </c>
      <c r="L189">
        <v>4</v>
      </c>
      <c r="M189" t="s">
        <v>17</v>
      </c>
    </row>
    <row r="190" spans="1:13" x14ac:dyDescent="0.3">
      <c r="A190" t="s">
        <v>230</v>
      </c>
      <c r="B190" t="s">
        <v>28</v>
      </c>
      <c r="C190" t="s">
        <v>61</v>
      </c>
      <c r="D190" t="s">
        <v>30</v>
      </c>
      <c r="E190">
        <v>30</v>
      </c>
      <c r="F190">
        <v>2</v>
      </c>
      <c r="G190">
        <v>85817</v>
      </c>
      <c r="H190">
        <v>4</v>
      </c>
      <c r="I190">
        <v>59</v>
      </c>
      <c r="J190">
        <v>5</v>
      </c>
      <c r="K190">
        <v>1</v>
      </c>
      <c r="L190">
        <v>3</v>
      </c>
      <c r="M190" t="s">
        <v>17</v>
      </c>
    </row>
    <row r="191" spans="1:13" x14ac:dyDescent="0.3">
      <c r="A191" t="s">
        <v>231</v>
      </c>
      <c r="B191" t="s">
        <v>24</v>
      </c>
      <c r="C191" t="s">
        <v>65</v>
      </c>
      <c r="D191" t="s">
        <v>30</v>
      </c>
      <c r="E191">
        <v>28</v>
      </c>
      <c r="F191">
        <v>13</v>
      </c>
      <c r="G191">
        <v>83112</v>
      </c>
      <c r="H191">
        <v>4</v>
      </c>
      <c r="I191">
        <v>24</v>
      </c>
      <c r="J191">
        <v>1</v>
      </c>
      <c r="K191">
        <v>2</v>
      </c>
      <c r="L191">
        <v>1</v>
      </c>
      <c r="M191" t="s">
        <v>17</v>
      </c>
    </row>
    <row r="192" spans="1:13" x14ac:dyDescent="0.3">
      <c r="A192" t="s">
        <v>232</v>
      </c>
      <c r="B192" t="s">
        <v>19</v>
      </c>
      <c r="C192" t="s">
        <v>32</v>
      </c>
      <c r="D192" t="s">
        <v>16</v>
      </c>
      <c r="E192">
        <v>50</v>
      </c>
      <c r="F192">
        <v>3</v>
      </c>
      <c r="G192">
        <v>39512</v>
      </c>
      <c r="H192">
        <v>5</v>
      </c>
      <c r="I192">
        <v>43</v>
      </c>
      <c r="J192">
        <v>1</v>
      </c>
      <c r="K192">
        <v>4</v>
      </c>
      <c r="L192">
        <v>4</v>
      </c>
      <c r="M192" t="s">
        <v>17</v>
      </c>
    </row>
    <row r="193" spans="1:13" x14ac:dyDescent="0.3">
      <c r="A193" t="s">
        <v>233</v>
      </c>
      <c r="B193" t="s">
        <v>24</v>
      </c>
      <c r="C193" t="s">
        <v>52</v>
      </c>
      <c r="D193" t="s">
        <v>16</v>
      </c>
      <c r="E193">
        <v>28</v>
      </c>
      <c r="F193">
        <v>3</v>
      </c>
      <c r="G193">
        <v>64900</v>
      </c>
      <c r="H193">
        <v>5</v>
      </c>
      <c r="I193">
        <v>5</v>
      </c>
      <c r="J193">
        <v>9</v>
      </c>
      <c r="K193">
        <v>4</v>
      </c>
      <c r="L193">
        <v>4</v>
      </c>
      <c r="M193" t="s">
        <v>17</v>
      </c>
    </row>
    <row r="194" spans="1:13" x14ac:dyDescent="0.3">
      <c r="A194" t="s">
        <v>234</v>
      </c>
      <c r="B194" t="s">
        <v>28</v>
      </c>
      <c r="C194" t="s">
        <v>29</v>
      </c>
      <c r="D194" t="s">
        <v>16</v>
      </c>
      <c r="E194">
        <v>30</v>
      </c>
      <c r="F194">
        <v>2</v>
      </c>
      <c r="G194">
        <v>86952</v>
      </c>
      <c r="H194">
        <v>1</v>
      </c>
      <c r="I194">
        <v>35</v>
      </c>
      <c r="J194">
        <v>7</v>
      </c>
      <c r="K194">
        <v>3</v>
      </c>
      <c r="L194">
        <v>3</v>
      </c>
      <c r="M194" t="s">
        <v>17</v>
      </c>
    </row>
    <row r="195" spans="1:13" x14ac:dyDescent="0.3">
      <c r="A195" t="s">
        <v>235</v>
      </c>
      <c r="B195" t="s">
        <v>35</v>
      </c>
      <c r="C195" t="s">
        <v>41</v>
      </c>
      <c r="D195" t="s">
        <v>16</v>
      </c>
      <c r="E195">
        <v>43</v>
      </c>
      <c r="F195">
        <v>15</v>
      </c>
      <c r="G195">
        <v>51643</v>
      </c>
      <c r="H195">
        <v>4</v>
      </c>
      <c r="I195">
        <v>56</v>
      </c>
      <c r="J195">
        <v>6</v>
      </c>
      <c r="K195">
        <v>4</v>
      </c>
      <c r="L195">
        <v>3</v>
      </c>
      <c r="M195" t="s">
        <v>33</v>
      </c>
    </row>
    <row r="196" spans="1:13" x14ac:dyDescent="0.3">
      <c r="A196" t="s">
        <v>236</v>
      </c>
      <c r="B196" t="s">
        <v>28</v>
      </c>
      <c r="C196" t="s">
        <v>61</v>
      </c>
      <c r="D196" t="s">
        <v>16</v>
      </c>
      <c r="E196">
        <v>30</v>
      </c>
      <c r="F196">
        <v>14</v>
      </c>
      <c r="G196">
        <v>52558</v>
      </c>
      <c r="H196">
        <v>4</v>
      </c>
      <c r="I196">
        <v>59</v>
      </c>
      <c r="J196">
        <v>6</v>
      </c>
      <c r="K196">
        <v>3</v>
      </c>
      <c r="L196">
        <v>4</v>
      </c>
      <c r="M196" t="s">
        <v>33</v>
      </c>
    </row>
    <row r="197" spans="1:13" x14ac:dyDescent="0.3">
      <c r="A197" t="s">
        <v>237</v>
      </c>
      <c r="B197" t="s">
        <v>24</v>
      </c>
      <c r="C197" t="s">
        <v>65</v>
      </c>
      <c r="D197" t="s">
        <v>30</v>
      </c>
      <c r="E197">
        <v>50</v>
      </c>
      <c r="F197">
        <v>4</v>
      </c>
      <c r="G197">
        <v>46577</v>
      </c>
      <c r="H197">
        <v>5</v>
      </c>
      <c r="I197">
        <v>19</v>
      </c>
      <c r="J197">
        <v>2</v>
      </c>
      <c r="K197">
        <v>2</v>
      </c>
      <c r="L197">
        <v>2</v>
      </c>
      <c r="M197" t="s">
        <v>17</v>
      </c>
    </row>
    <row r="198" spans="1:13" x14ac:dyDescent="0.3">
      <c r="A198" t="s">
        <v>238</v>
      </c>
      <c r="B198" t="s">
        <v>14</v>
      </c>
      <c r="C198" t="s">
        <v>38</v>
      </c>
      <c r="D198" t="s">
        <v>30</v>
      </c>
      <c r="E198">
        <v>42</v>
      </c>
      <c r="F198">
        <v>0</v>
      </c>
      <c r="G198">
        <v>55174</v>
      </c>
      <c r="H198">
        <v>5</v>
      </c>
      <c r="I198">
        <v>60</v>
      </c>
      <c r="J198">
        <v>6</v>
      </c>
      <c r="K198">
        <v>2</v>
      </c>
      <c r="L198">
        <v>1</v>
      </c>
      <c r="M198" t="s">
        <v>17</v>
      </c>
    </row>
    <row r="199" spans="1:13" x14ac:dyDescent="0.3">
      <c r="A199" t="s">
        <v>239</v>
      </c>
      <c r="B199" t="s">
        <v>19</v>
      </c>
      <c r="C199" t="s">
        <v>20</v>
      </c>
      <c r="D199" t="s">
        <v>30</v>
      </c>
      <c r="E199">
        <v>31</v>
      </c>
      <c r="F199">
        <v>1</v>
      </c>
      <c r="G199">
        <v>36572</v>
      </c>
      <c r="H199">
        <v>5</v>
      </c>
      <c r="I199">
        <v>5</v>
      </c>
      <c r="J199">
        <v>12</v>
      </c>
      <c r="K199">
        <v>1</v>
      </c>
      <c r="L199">
        <v>2</v>
      </c>
      <c r="M199" t="s">
        <v>17</v>
      </c>
    </row>
    <row r="200" spans="1:13" x14ac:dyDescent="0.3">
      <c r="A200" t="s">
        <v>240</v>
      </c>
      <c r="B200" t="s">
        <v>28</v>
      </c>
      <c r="C200" t="s">
        <v>29</v>
      </c>
      <c r="D200" t="s">
        <v>16</v>
      </c>
      <c r="E200">
        <v>26</v>
      </c>
      <c r="F200">
        <v>14</v>
      </c>
      <c r="G200">
        <v>80806</v>
      </c>
      <c r="H200">
        <v>5</v>
      </c>
      <c r="I200">
        <v>20</v>
      </c>
      <c r="J200">
        <v>9</v>
      </c>
      <c r="K200">
        <v>5</v>
      </c>
      <c r="L200">
        <v>2</v>
      </c>
      <c r="M200" t="s">
        <v>17</v>
      </c>
    </row>
    <row r="201" spans="1:13" x14ac:dyDescent="0.3">
      <c r="A201" t="s">
        <v>241</v>
      </c>
      <c r="B201" t="s">
        <v>19</v>
      </c>
      <c r="C201" t="s">
        <v>22</v>
      </c>
      <c r="D201" t="s">
        <v>30</v>
      </c>
      <c r="E201">
        <v>35</v>
      </c>
      <c r="F201">
        <v>7</v>
      </c>
      <c r="G201">
        <v>53614</v>
      </c>
      <c r="H201">
        <v>4</v>
      </c>
      <c r="I201">
        <v>19</v>
      </c>
      <c r="J201">
        <v>7</v>
      </c>
      <c r="K201">
        <v>5</v>
      </c>
      <c r="L201">
        <v>2</v>
      </c>
      <c r="M201" t="s">
        <v>33</v>
      </c>
    </row>
    <row r="202" spans="1:13" x14ac:dyDescent="0.3">
      <c r="A202" s="3">
        <f>COUNTA(A2:A201)</f>
        <v>200</v>
      </c>
      <c r="B202" s="3"/>
      <c r="C202" s="3"/>
      <c r="D202" s="3"/>
      <c r="G202">
        <f>AVERAGE(G2:G201)</f>
        <v>59572.084999999999</v>
      </c>
      <c r="H202">
        <f>AVERAGE(H2:H201)</f>
        <v>3.0049999999999999</v>
      </c>
      <c r="M202" s="13">
        <f ca="1">COUNTIF(HR_Dashboard_Data[Attrition],"Yes")/200</f>
        <v>0.21</v>
      </c>
    </row>
    <row r="203" spans="1:13" x14ac:dyDescent="0.3">
      <c r="A203" s="3"/>
      <c r="B203" s="3"/>
      <c r="C203" s="3"/>
      <c r="D203" s="3"/>
      <c r="M203" s="3"/>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FC3A-C0B5-4C0C-AE30-F1AABD983B2D}">
  <dimension ref="A3:P22"/>
  <sheetViews>
    <sheetView topLeftCell="A2" workbookViewId="0">
      <selection activeCell="I9" sqref="I9"/>
    </sheetView>
  </sheetViews>
  <sheetFormatPr defaultRowHeight="14.4" x14ac:dyDescent="0.3"/>
  <cols>
    <col min="1" max="1" width="12.5546875" bestFit="1" customWidth="1"/>
    <col min="2" max="2" width="19.109375" bestFit="1" customWidth="1"/>
    <col min="9" max="9" width="12.5546875" bestFit="1" customWidth="1"/>
    <col min="10" max="10" width="15.88671875" bestFit="1" customWidth="1"/>
    <col min="11" max="11" width="19.33203125" bestFit="1" customWidth="1"/>
    <col min="12" max="13" width="8.6640625" customWidth="1"/>
    <col min="14" max="14" width="7.88671875" customWidth="1"/>
    <col min="15" max="15" width="12.5546875" bestFit="1" customWidth="1"/>
    <col min="16" max="16" width="15.88671875" bestFit="1" customWidth="1"/>
    <col min="17" max="17" width="24" bestFit="1" customWidth="1"/>
    <col min="18" max="20" width="4" bestFit="1" customWidth="1"/>
    <col min="21" max="21" width="10.77734375" bestFit="1" customWidth="1"/>
  </cols>
  <sheetData>
    <row r="3" spans="1:16" x14ac:dyDescent="0.3">
      <c r="A3" s="1" t="s">
        <v>246</v>
      </c>
      <c r="B3" t="s">
        <v>243</v>
      </c>
      <c r="I3" t="s">
        <v>242</v>
      </c>
      <c r="J3" t="s">
        <v>248</v>
      </c>
      <c r="O3" s="1" t="s">
        <v>246</v>
      </c>
      <c r="P3" t="s">
        <v>249</v>
      </c>
    </row>
    <row r="4" spans="1:16" x14ac:dyDescent="0.3">
      <c r="A4" s="2" t="s">
        <v>24</v>
      </c>
      <c r="B4" s="3">
        <v>3.096774193548387</v>
      </c>
      <c r="I4" s="3">
        <v>601</v>
      </c>
      <c r="J4" s="3">
        <v>6771</v>
      </c>
      <c r="O4" s="2">
        <v>0</v>
      </c>
      <c r="P4" s="3">
        <v>12</v>
      </c>
    </row>
    <row r="5" spans="1:16" x14ac:dyDescent="0.3">
      <c r="A5" s="2" t="s">
        <v>43</v>
      </c>
      <c r="B5" s="3">
        <v>2.7391304347826089</v>
      </c>
      <c r="O5" s="2">
        <v>1</v>
      </c>
      <c r="P5" s="3">
        <v>14</v>
      </c>
    </row>
    <row r="6" spans="1:16" x14ac:dyDescent="0.3">
      <c r="A6" s="2" t="s">
        <v>35</v>
      </c>
      <c r="B6" s="3">
        <v>2.7222222222222223</v>
      </c>
      <c r="O6" s="2">
        <v>2</v>
      </c>
      <c r="P6" s="3">
        <v>13</v>
      </c>
    </row>
    <row r="7" spans="1:16" x14ac:dyDescent="0.3">
      <c r="A7" s="2" t="s">
        <v>14</v>
      </c>
      <c r="B7" s="3">
        <v>3</v>
      </c>
      <c r="O7" s="2">
        <v>3</v>
      </c>
      <c r="P7" s="3">
        <v>16</v>
      </c>
    </row>
    <row r="8" spans="1:16" x14ac:dyDescent="0.3">
      <c r="A8" s="2" t="s">
        <v>19</v>
      </c>
      <c r="B8" s="3">
        <v>3.3157894736842106</v>
      </c>
      <c r="O8" s="2">
        <v>4</v>
      </c>
      <c r="P8" s="3">
        <v>11</v>
      </c>
    </row>
    <row r="9" spans="1:16" x14ac:dyDescent="0.3">
      <c r="A9" s="2" t="s">
        <v>28</v>
      </c>
      <c r="B9" s="3">
        <v>3.0526315789473686</v>
      </c>
      <c r="O9" s="2">
        <v>5</v>
      </c>
      <c r="P9" s="3">
        <v>15</v>
      </c>
    </row>
    <row r="10" spans="1:16" x14ac:dyDescent="0.3">
      <c r="A10" s="2" t="s">
        <v>244</v>
      </c>
      <c r="B10" s="3"/>
      <c r="O10" s="2">
        <v>6</v>
      </c>
      <c r="P10" s="3">
        <v>7</v>
      </c>
    </row>
    <row r="11" spans="1:16" x14ac:dyDescent="0.3">
      <c r="A11" s="2" t="s">
        <v>245</v>
      </c>
      <c r="B11" s="3">
        <v>3.0049999999999999</v>
      </c>
      <c r="O11" s="2">
        <v>7</v>
      </c>
      <c r="P11" s="3">
        <v>13</v>
      </c>
    </row>
    <row r="12" spans="1:16" x14ac:dyDescent="0.3">
      <c r="O12" s="2">
        <v>8</v>
      </c>
      <c r="P12" s="3">
        <v>11</v>
      </c>
    </row>
    <row r="13" spans="1:16" x14ac:dyDescent="0.3">
      <c r="O13" s="2">
        <v>9</v>
      </c>
      <c r="P13" s="3">
        <v>10</v>
      </c>
    </row>
    <row r="14" spans="1:16" x14ac:dyDescent="0.3">
      <c r="A14" s="1" t="s">
        <v>246</v>
      </c>
      <c r="B14" t="s">
        <v>247</v>
      </c>
      <c r="I14" s="1" t="s">
        <v>246</v>
      </c>
      <c r="J14" t="s">
        <v>249</v>
      </c>
      <c r="O14" s="2">
        <v>10</v>
      </c>
      <c r="P14" s="3">
        <v>17</v>
      </c>
    </row>
    <row r="15" spans="1:16" x14ac:dyDescent="0.3">
      <c r="A15" s="2" t="s">
        <v>24</v>
      </c>
      <c r="B15" s="3">
        <v>31</v>
      </c>
      <c r="I15" s="2" t="s">
        <v>24</v>
      </c>
      <c r="J15" s="3">
        <v>31</v>
      </c>
      <c r="O15" s="2">
        <v>11</v>
      </c>
      <c r="P15" s="3">
        <v>11</v>
      </c>
    </row>
    <row r="16" spans="1:16" x14ac:dyDescent="0.3">
      <c r="A16" s="2" t="s">
        <v>43</v>
      </c>
      <c r="B16" s="3">
        <v>23</v>
      </c>
      <c r="I16" s="2" t="s">
        <v>43</v>
      </c>
      <c r="J16" s="3">
        <v>23</v>
      </c>
      <c r="O16" s="2">
        <v>12</v>
      </c>
      <c r="P16" s="3">
        <v>13</v>
      </c>
    </row>
    <row r="17" spans="1:16" x14ac:dyDescent="0.3">
      <c r="A17" s="2" t="s">
        <v>35</v>
      </c>
      <c r="B17" s="3">
        <v>36</v>
      </c>
      <c r="I17" s="2" t="s">
        <v>35</v>
      </c>
      <c r="J17" s="3">
        <v>36</v>
      </c>
      <c r="O17" s="2">
        <v>13</v>
      </c>
      <c r="P17" s="3">
        <v>8</v>
      </c>
    </row>
    <row r="18" spans="1:16" x14ac:dyDescent="0.3">
      <c r="A18" s="2" t="s">
        <v>14</v>
      </c>
      <c r="B18" s="3">
        <v>34</v>
      </c>
      <c r="I18" s="2" t="s">
        <v>14</v>
      </c>
      <c r="J18" s="3">
        <v>34</v>
      </c>
      <c r="O18" s="2">
        <v>14</v>
      </c>
      <c r="P18" s="3">
        <v>12</v>
      </c>
    </row>
    <row r="19" spans="1:16" x14ac:dyDescent="0.3">
      <c r="A19" s="2" t="s">
        <v>19</v>
      </c>
      <c r="B19" s="3">
        <v>38</v>
      </c>
      <c r="I19" s="2" t="s">
        <v>19</v>
      </c>
      <c r="J19" s="3">
        <v>38</v>
      </c>
      <c r="O19" s="2">
        <v>15</v>
      </c>
      <c r="P19" s="3">
        <v>17</v>
      </c>
    </row>
    <row r="20" spans="1:16" x14ac:dyDescent="0.3">
      <c r="A20" s="2" t="s">
        <v>28</v>
      </c>
      <c r="B20" s="3">
        <v>38</v>
      </c>
      <c r="I20" s="2" t="s">
        <v>28</v>
      </c>
      <c r="J20" s="3">
        <v>38</v>
      </c>
      <c r="O20" s="2" t="s">
        <v>245</v>
      </c>
      <c r="P20" s="3">
        <v>200</v>
      </c>
    </row>
    <row r="21" spans="1:16" x14ac:dyDescent="0.3">
      <c r="A21" s="2" t="s">
        <v>244</v>
      </c>
      <c r="B21" s="3"/>
      <c r="I21" s="2" t="s">
        <v>244</v>
      </c>
      <c r="J21" s="3"/>
    </row>
    <row r="22" spans="1:16" x14ac:dyDescent="0.3">
      <c r="A22" s="2" t="s">
        <v>245</v>
      </c>
      <c r="B22" s="3">
        <v>200</v>
      </c>
      <c r="I22" s="2" t="s">
        <v>245</v>
      </c>
      <c r="J22" s="3">
        <v>200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0ACA-5618-494B-B2D9-F212058379BE}">
  <dimension ref="B1:U26"/>
  <sheetViews>
    <sheetView tabSelected="1" workbookViewId="0">
      <selection activeCell="Q3" sqref="Q3"/>
    </sheetView>
  </sheetViews>
  <sheetFormatPr defaultRowHeight="14.4" x14ac:dyDescent="0.3"/>
  <cols>
    <col min="1" max="1" width="12.5546875" bestFit="1" customWidth="1"/>
    <col min="2" max="2" width="18.44140625" bestFit="1" customWidth="1"/>
  </cols>
  <sheetData>
    <row r="1" spans="2:21" ht="15" thickBot="1" x14ac:dyDescent="0.35"/>
    <row r="2" spans="2:21" x14ac:dyDescent="0.3">
      <c r="B2" s="4"/>
      <c r="C2" s="5"/>
      <c r="D2" s="5"/>
      <c r="E2" s="5"/>
      <c r="F2" s="5"/>
      <c r="G2" s="5"/>
      <c r="H2" s="5"/>
      <c r="I2" s="5"/>
      <c r="J2" s="5"/>
      <c r="K2" s="5"/>
      <c r="L2" s="5"/>
      <c r="M2" s="5"/>
      <c r="N2" s="5"/>
      <c r="O2" s="5"/>
      <c r="P2" s="5"/>
      <c r="Q2" s="5"/>
      <c r="R2" s="5"/>
      <c r="S2" s="5"/>
      <c r="T2" s="5"/>
      <c r="U2" s="6"/>
    </row>
    <row r="3" spans="2:21" x14ac:dyDescent="0.3">
      <c r="B3" s="7"/>
      <c r="C3" s="8"/>
      <c r="D3" s="8"/>
      <c r="E3" s="8"/>
      <c r="F3" s="8"/>
      <c r="G3" s="8"/>
      <c r="H3" s="8"/>
      <c r="I3" s="8"/>
      <c r="J3" s="8"/>
      <c r="K3" s="8"/>
      <c r="L3" s="8"/>
      <c r="M3" s="8"/>
      <c r="N3" s="8"/>
      <c r="O3" s="8"/>
      <c r="P3" s="8"/>
      <c r="Q3" s="8"/>
      <c r="R3" s="8"/>
      <c r="S3" s="8"/>
      <c r="T3" s="8"/>
      <c r="U3" s="9"/>
    </row>
    <row r="4" spans="2:21" x14ac:dyDescent="0.3">
      <c r="B4" s="7"/>
      <c r="C4" s="8"/>
      <c r="D4" s="8"/>
      <c r="E4" s="8"/>
      <c r="F4" s="8"/>
      <c r="G4" s="8"/>
      <c r="H4" s="8"/>
      <c r="I4" s="8"/>
      <c r="J4" s="8"/>
      <c r="K4" s="8"/>
      <c r="L4" s="8"/>
      <c r="M4" s="8"/>
      <c r="N4" s="8"/>
      <c r="O4" s="8"/>
      <c r="P4" s="8"/>
      <c r="Q4" s="8"/>
      <c r="R4" s="8"/>
      <c r="S4" s="8"/>
      <c r="T4" s="8"/>
      <c r="U4" s="9"/>
    </row>
    <row r="5" spans="2:21" x14ac:dyDescent="0.3">
      <c r="B5" s="7"/>
      <c r="C5" s="8"/>
      <c r="D5" s="8"/>
      <c r="E5" s="8"/>
      <c r="F5" s="8"/>
      <c r="G5" s="8"/>
      <c r="H5" s="8"/>
      <c r="I5" s="8"/>
      <c r="J5" s="8"/>
      <c r="K5" s="8"/>
      <c r="L5" s="8"/>
      <c r="M5" s="8"/>
      <c r="N5" s="8"/>
      <c r="O5" s="8"/>
      <c r="P5" s="8"/>
      <c r="Q5" s="8"/>
      <c r="R5" s="8"/>
      <c r="S5" s="8"/>
      <c r="T5" s="8"/>
      <c r="U5" s="9"/>
    </row>
    <row r="6" spans="2:21" x14ac:dyDescent="0.3">
      <c r="B6" s="7"/>
      <c r="C6" s="8"/>
      <c r="D6" s="8"/>
      <c r="E6" s="8"/>
      <c r="F6" s="8"/>
      <c r="G6" s="8"/>
      <c r="H6" s="8"/>
      <c r="I6" s="8"/>
      <c r="J6" s="8"/>
      <c r="K6" s="8"/>
      <c r="L6" s="8"/>
      <c r="M6" s="8"/>
      <c r="N6" s="8"/>
      <c r="O6" s="8"/>
      <c r="P6" s="8"/>
      <c r="Q6" s="8"/>
      <c r="R6" s="8"/>
      <c r="S6" s="8"/>
      <c r="T6" s="8"/>
      <c r="U6" s="9"/>
    </row>
    <row r="7" spans="2:21" x14ac:dyDescent="0.3">
      <c r="B7" s="7"/>
      <c r="C7" s="8"/>
      <c r="D7" s="8"/>
      <c r="E7" s="8"/>
      <c r="F7" s="8"/>
      <c r="G7" s="8"/>
      <c r="H7" s="8"/>
      <c r="I7" s="8"/>
      <c r="J7" s="8"/>
      <c r="K7" s="8"/>
      <c r="L7" s="8"/>
      <c r="M7" s="8"/>
      <c r="N7" s="8"/>
      <c r="O7" s="8"/>
      <c r="P7" s="8"/>
      <c r="Q7" s="8"/>
      <c r="R7" s="8"/>
      <c r="S7" s="8"/>
      <c r="T7" s="8"/>
      <c r="U7" s="9"/>
    </row>
    <row r="8" spans="2:21" x14ac:dyDescent="0.3">
      <c r="B8" s="7"/>
      <c r="C8" s="8"/>
      <c r="D8" s="8"/>
      <c r="E8" s="8"/>
      <c r="F8" s="8"/>
      <c r="G8" s="8"/>
      <c r="H8" s="8"/>
      <c r="I8" s="8"/>
      <c r="J8" s="8"/>
      <c r="K8" s="8"/>
      <c r="L8" s="8"/>
      <c r="M8" s="8"/>
      <c r="N8" s="8"/>
      <c r="O8" s="8"/>
      <c r="P8" s="8"/>
      <c r="Q8" s="8"/>
      <c r="R8" s="8"/>
      <c r="S8" s="8"/>
      <c r="T8" s="8"/>
      <c r="U8" s="9"/>
    </row>
    <row r="9" spans="2:21" x14ac:dyDescent="0.3">
      <c r="B9" s="7"/>
      <c r="C9" s="8"/>
      <c r="D9" s="8"/>
      <c r="E9" s="8"/>
      <c r="F9" s="8"/>
      <c r="G9" s="8"/>
      <c r="H9" s="8"/>
      <c r="I9" s="8"/>
      <c r="J9" s="8"/>
      <c r="K9" s="8"/>
      <c r="L9" s="8"/>
      <c r="M9" s="8"/>
      <c r="N9" s="8"/>
      <c r="O9" s="8"/>
      <c r="P9" s="8"/>
      <c r="Q9" s="8"/>
      <c r="R9" s="8"/>
      <c r="S9" s="8"/>
      <c r="T9" s="8"/>
      <c r="U9" s="9"/>
    </row>
    <row r="10" spans="2:21" x14ac:dyDescent="0.3">
      <c r="B10" s="7"/>
      <c r="C10" s="8"/>
      <c r="D10" s="8"/>
      <c r="E10" s="8"/>
      <c r="F10" s="8"/>
      <c r="G10" s="8"/>
      <c r="H10" s="8"/>
      <c r="I10" s="8"/>
      <c r="J10" s="8"/>
      <c r="K10" s="8"/>
      <c r="L10" s="8"/>
      <c r="M10" s="8"/>
      <c r="N10" s="8"/>
      <c r="O10" s="8"/>
      <c r="P10" s="8"/>
      <c r="Q10" s="8"/>
      <c r="R10" s="8"/>
      <c r="S10" s="8"/>
      <c r="T10" s="8"/>
      <c r="U10" s="9"/>
    </row>
    <row r="11" spans="2:21" x14ac:dyDescent="0.3">
      <c r="B11" s="7"/>
      <c r="C11" s="8"/>
      <c r="D11" s="8"/>
      <c r="E11" s="8"/>
      <c r="F11" s="8"/>
      <c r="G11" s="8"/>
      <c r="H11" s="8"/>
      <c r="I11" s="8"/>
      <c r="J11" s="8"/>
      <c r="K11" s="8"/>
      <c r="L11" s="8"/>
      <c r="M11" s="8"/>
      <c r="N11" s="8"/>
      <c r="O11" s="8"/>
      <c r="P11" s="8"/>
      <c r="Q11" s="8"/>
      <c r="R11" s="8"/>
      <c r="S11" s="8"/>
      <c r="T11" s="8"/>
      <c r="U11" s="9"/>
    </row>
    <row r="12" spans="2:21" x14ac:dyDescent="0.3">
      <c r="B12" s="7"/>
      <c r="C12" s="8"/>
      <c r="D12" s="8"/>
      <c r="E12" s="8"/>
      <c r="F12" s="8"/>
      <c r="G12" s="8"/>
      <c r="H12" s="8"/>
      <c r="I12" s="8"/>
      <c r="J12" s="8"/>
      <c r="K12" s="8"/>
      <c r="L12" s="8"/>
      <c r="M12" s="8"/>
      <c r="N12" s="8"/>
      <c r="O12" s="8"/>
      <c r="P12" s="8"/>
      <c r="Q12" s="8"/>
      <c r="R12" s="8"/>
      <c r="S12" s="8"/>
      <c r="T12" s="8"/>
      <c r="U12" s="9"/>
    </row>
    <row r="13" spans="2:21" x14ac:dyDescent="0.3">
      <c r="B13" s="7"/>
      <c r="C13" s="8"/>
      <c r="D13" s="8"/>
      <c r="E13" s="8"/>
      <c r="F13" s="8"/>
      <c r="G13" s="8"/>
      <c r="H13" s="8"/>
      <c r="I13" s="8"/>
      <c r="J13" s="8"/>
      <c r="K13" s="8"/>
      <c r="L13" s="8"/>
      <c r="M13" s="8"/>
      <c r="N13" s="8"/>
      <c r="O13" s="8"/>
      <c r="P13" s="8"/>
      <c r="Q13" s="8"/>
      <c r="R13" s="8"/>
      <c r="S13" s="8"/>
      <c r="T13" s="8"/>
      <c r="U13" s="9"/>
    </row>
    <row r="14" spans="2:21" x14ac:dyDescent="0.3">
      <c r="B14" s="7"/>
      <c r="C14" s="8"/>
      <c r="D14" s="8"/>
      <c r="E14" s="8"/>
      <c r="F14" s="8"/>
      <c r="G14" s="8"/>
      <c r="H14" s="8"/>
      <c r="I14" s="8"/>
      <c r="J14" s="8"/>
      <c r="K14" s="8"/>
      <c r="L14" s="8"/>
      <c r="M14" s="8"/>
      <c r="N14" s="8"/>
      <c r="O14" s="8"/>
      <c r="P14" s="8"/>
      <c r="Q14" s="8"/>
      <c r="R14" s="8"/>
      <c r="S14" s="8"/>
      <c r="T14" s="8"/>
      <c r="U14" s="9"/>
    </row>
    <row r="15" spans="2:21" x14ac:dyDescent="0.3">
      <c r="B15" s="7"/>
      <c r="C15" s="8"/>
      <c r="D15" s="8"/>
      <c r="E15" s="8"/>
      <c r="F15" s="8"/>
      <c r="G15" s="8"/>
      <c r="H15" s="8"/>
      <c r="I15" s="8"/>
      <c r="J15" s="8"/>
      <c r="K15" s="8"/>
      <c r="L15" s="8"/>
      <c r="M15" s="8"/>
      <c r="N15" s="8"/>
      <c r="O15" s="8"/>
      <c r="P15" s="8"/>
      <c r="Q15" s="8"/>
      <c r="R15" s="8"/>
      <c r="S15" s="8"/>
      <c r="T15" s="8"/>
      <c r="U15" s="9"/>
    </row>
    <row r="16" spans="2:21" x14ac:dyDescent="0.3">
      <c r="B16" s="7"/>
      <c r="C16" s="8"/>
      <c r="D16" s="8"/>
      <c r="E16" s="8"/>
      <c r="F16" s="8"/>
      <c r="G16" s="8"/>
      <c r="H16" s="8"/>
      <c r="I16" s="8"/>
      <c r="J16" s="8"/>
      <c r="K16" s="8"/>
      <c r="L16" s="8"/>
      <c r="M16" s="8"/>
      <c r="N16" s="8"/>
      <c r="O16" s="8"/>
      <c r="P16" s="8"/>
      <c r="Q16" s="8"/>
      <c r="R16" s="8"/>
      <c r="S16" s="8"/>
      <c r="T16" s="8"/>
      <c r="U16" s="9"/>
    </row>
    <row r="17" spans="2:21" x14ac:dyDescent="0.3">
      <c r="B17" s="7"/>
      <c r="C17" s="8"/>
      <c r="D17" s="8"/>
      <c r="E17" s="8"/>
      <c r="F17" s="8"/>
      <c r="G17" s="8"/>
      <c r="H17" s="8"/>
      <c r="I17" s="8"/>
      <c r="J17" s="8"/>
      <c r="K17" s="8"/>
      <c r="L17" s="8"/>
      <c r="M17" s="8"/>
      <c r="N17" s="8"/>
      <c r="O17" s="8"/>
      <c r="P17" s="8"/>
      <c r="Q17" s="8"/>
      <c r="R17" s="8"/>
      <c r="S17" s="8"/>
      <c r="T17" s="8"/>
      <c r="U17" s="9"/>
    </row>
    <row r="18" spans="2:21" x14ac:dyDescent="0.3">
      <c r="B18" s="7"/>
      <c r="C18" s="8"/>
      <c r="D18" s="8"/>
      <c r="E18" s="8"/>
      <c r="F18" s="8"/>
      <c r="G18" s="8"/>
      <c r="H18" s="8"/>
      <c r="I18" s="8"/>
      <c r="J18" s="8"/>
      <c r="K18" s="8"/>
      <c r="L18" s="8"/>
      <c r="M18" s="8"/>
      <c r="N18" s="8"/>
      <c r="O18" s="8"/>
      <c r="P18" s="8"/>
      <c r="Q18" s="8"/>
      <c r="R18" s="8"/>
      <c r="S18" s="8"/>
      <c r="T18" s="8"/>
      <c r="U18" s="9"/>
    </row>
    <row r="19" spans="2:21" x14ac:dyDescent="0.3">
      <c r="B19" s="7"/>
      <c r="C19" s="8"/>
      <c r="D19" s="8"/>
      <c r="E19" s="8"/>
      <c r="F19" s="8"/>
      <c r="G19" s="8"/>
      <c r="H19" s="8"/>
      <c r="I19" s="8"/>
      <c r="J19" s="8"/>
      <c r="K19" s="8"/>
      <c r="L19" s="8"/>
      <c r="M19" s="8"/>
      <c r="N19" s="8"/>
      <c r="O19" s="8"/>
      <c r="P19" s="8"/>
      <c r="Q19" s="8"/>
      <c r="R19" s="8"/>
      <c r="S19" s="8"/>
      <c r="T19" s="8"/>
      <c r="U19" s="9"/>
    </row>
    <row r="20" spans="2:21" x14ac:dyDescent="0.3">
      <c r="B20" s="7"/>
      <c r="C20" s="8"/>
      <c r="D20" s="8"/>
      <c r="E20" s="8"/>
      <c r="F20" s="8"/>
      <c r="G20" s="8"/>
      <c r="H20" s="8"/>
      <c r="I20" s="8"/>
      <c r="J20" s="8"/>
      <c r="K20" s="8"/>
      <c r="L20" s="8"/>
      <c r="M20" s="8"/>
      <c r="N20" s="8"/>
      <c r="O20" s="8"/>
      <c r="P20" s="8"/>
      <c r="Q20" s="8"/>
      <c r="R20" s="8"/>
      <c r="S20" s="8"/>
      <c r="T20" s="8"/>
      <c r="U20" s="9"/>
    </row>
    <row r="21" spans="2:21" x14ac:dyDescent="0.3">
      <c r="B21" s="7"/>
      <c r="C21" s="8"/>
      <c r="D21" s="8"/>
      <c r="E21" s="8"/>
      <c r="F21" s="8"/>
      <c r="G21" s="8"/>
      <c r="H21" s="8"/>
      <c r="I21" s="8"/>
      <c r="J21" s="8"/>
      <c r="K21" s="8"/>
      <c r="L21" s="8"/>
      <c r="M21" s="8"/>
      <c r="N21" s="8"/>
      <c r="O21" s="8"/>
      <c r="P21" s="8"/>
      <c r="Q21" s="8"/>
      <c r="R21" s="8"/>
      <c r="S21" s="8"/>
      <c r="T21" s="8"/>
      <c r="U21" s="9"/>
    </row>
    <row r="22" spans="2:21" x14ac:dyDescent="0.3">
      <c r="B22" s="7"/>
      <c r="C22" s="8"/>
      <c r="D22" s="8"/>
      <c r="E22" s="8"/>
      <c r="F22" s="8"/>
      <c r="G22" s="8"/>
      <c r="H22" s="8"/>
      <c r="I22" s="8"/>
      <c r="J22" s="8"/>
      <c r="K22" s="8"/>
      <c r="L22" s="8"/>
      <c r="M22" s="8"/>
      <c r="N22" s="8"/>
      <c r="O22" s="8"/>
      <c r="P22" s="8"/>
      <c r="Q22" s="8"/>
      <c r="R22" s="8"/>
      <c r="S22" s="8"/>
      <c r="T22" s="8"/>
      <c r="U22" s="9"/>
    </row>
    <row r="23" spans="2:21" x14ac:dyDescent="0.3">
      <c r="B23" s="7"/>
      <c r="C23" s="8"/>
      <c r="D23" s="8"/>
      <c r="E23" s="8"/>
      <c r="F23" s="8"/>
      <c r="G23" s="8"/>
      <c r="H23" s="8"/>
      <c r="I23" s="8"/>
      <c r="J23" s="8"/>
      <c r="K23" s="8"/>
      <c r="L23" s="8"/>
      <c r="M23" s="8"/>
      <c r="N23" s="8"/>
      <c r="O23" s="8"/>
      <c r="P23" s="8"/>
      <c r="Q23" s="8"/>
      <c r="R23" s="8"/>
      <c r="S23" s="8"/>
      <c r="T23" s="8"/>
      <c r="U23" s="9"/>
    </row>
    <row r="24" spans="2:21" x14ac:dyDescent="0.3">
      <c r="B24" s="7"/>
      <c r="C24" s="8"/>
      <c r="D24" s="8"/>
      <c r="E24" s="8"/>
      <c r="F24" s="8"/>
      <c r="G24" s="8"/>
      <c r="H24" s="8"/>
      <c r="I24" s="8"/>
      <c r="J24" s="8"/>
      <c r="K24" s="8"/>
      <c r="L24" s="8"/>
      <c r="M24" s="8"/>
      <c r="N24" s="8"/>
      <c r="O24" s="8"/>
      <c r="P24" s="8"/>
      <c r="Q24" s="8"/>
      <c r="R24" s="8"/>
      <c r="S24" s="8"/>
      <c r="T24" s="8"/>
      <c r="U24" s="9"/>
    </row>
    <row r="25" spans="2:21" x14ac:dyDescent="0.3">
      <c r="B25" s="7"/>
      <c r="C25" s="8"/>
      <c r="D25" s="8"/>
      <c r="E25" s="8"/>
      <c r="F25" s="8"/>
      <c r="G25" s="8"/>
      <c r="H25" s="8"/>
      <c r="I25" s="8"/>
      <c r="J25" s="8"/>
      <c r="K25" s="8"/>
      <c r="L25" s="8"/>
      <c r="M25" s="8"/>
      <c r="N25" s="8"/>
      <c r="O25" s="8"/>
      <c r="P25" s="8"/>
      <c r="Q25" s="8"/>
      <c r="R25" s="8"/>
      <c r="S25" s="8"/>
      <c r="T25" s="8"/>
      <c r="U25" s="9"/>
    </row>
    <row r="26" spans="2:21" ht="15" thickBot="1" x14ac:dyDescent="0.35">
      <c r="B26" s="10"/>
      <c r="C26" s="11"/>
      <c r="D26" s="11"/>
      <c r="E26" s="11"/>
      <c r="F26" s="11"/>
      <c r="G26" s="11"/>
      <c r="H26" s="11"/>
      <c r="I26" s="11"/>
      <c r="J26" s="11"/>
      <c r="K26" s="11"/>
      <c r="L26" s="11"/>
      <c r="M26" s="11"/>
      <c r="N26" s="11"/>
      <c r="O26" s="11"/>
      <c r="P26" s="11"/>
      <c r="Q26" s="11"/>
      <c r="R26" s="11"/>
      <c r="S26" s="11"/>
      <c r="T26" s="11"/>
      <c r="U2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678769-DB58-43CE-A933-8D3C5FEDEF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HR_Dashboard_Data</vt:lpstr>
      <vt:lpstr>Data cleaning</vt:lpstr>
      <vt:lpstr>Pivort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Sunca Paul</cp:lastModifiedBy>
  <dcterms:created xsi:type="dcterms:W3CDTF">2026-04-01T14:25:41Z</dcterms:created>
  <dcterms:modified xsi:type="dcterms:W3CDTF">2026-04-20T14:14:39Z</dcterms:modified>
</cp:coreProperties>
</file>